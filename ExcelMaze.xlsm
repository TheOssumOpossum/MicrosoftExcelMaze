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bomm_000\Desktop\"/>
    </mc:Choice>
  </mc:AlternateContent>
  <bookViews>
    <workbookView xWindow="0" yWindow="0" windowWidth="23040" windowHeight="9972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1" l="1"/>
  <c r="T3" i="1" s="1"/>
  <c r="S2" i="1"/>
  <c r="A2" i="2" l="1"/>
  <c r="I2" i="2"/>
  <c r="B3" i="2"/>
  <c r="J3" i="2"/>
  <c r="C4" i="2"/>
  <c r="K4" i="2"/>
  <c r="D5" i="2"/>
  <c r="L5" i="2"/>
  <c r="E6" i="2"/>
  <c r="M6" i="2"/>
  <c r="F7" i="2"/>
  <c r="N7" i="2"/>
  <c r="G8" i="2"/>
  <c r="O8" i="2"/>
  <c r="H9" i="2"/>
  <c r="A10" i="2"/>
  <c r="I10" i="2"/>
  <c r="B11" i="2"/>
  <c r="J11" i="2"/>
  <c r="C12" i="2"/>
  <c r="K12" i="2"/>
  <c r="B2" i="2"/>
  <c r="J2" i="2"/>
  <c r="C3" i="2"/>
  <c r="K3" i="2"/>
  <c r="D4" i="2"/>
  <c r="L4" i="2"/>
  <c r="E5" i="2"/>
  <c r="M5" i="2"/>
  <c r="F6" i="2"/>
  <c r="N6" i="2"/>
  <c r="G7" i="2"/>
  <c r="O7" i="2"/>
  <c r="H8" i="2"/>
  <c r="A9" i="2"/>
  <c r="I9" i="2"/>
  <c r="B10" i="2"/>
  <c r="J10" i="2"/>
  <c r="C11" i="2"/>
  <c r="K11" i="2"/>
  <c r="D12" i="2"/>
  <c r="L12" i="2"/>
  <c r="F1" i="2"/>
  <c r="N1" i="2"/>
  <c r="G1" i="2"/>
  <c r="C8" i="2"/>
  <c r="E10" i="2"/>
  <c r="G12" i="2"/>
  <c r="I1" i="2"/>
  <c r="H2" i="2"/>
  <c r="C5" i="2"/>
  <c r="G9" i="2"/>
  <c r="B12" i="2"/>
  <c r="M1" i="2"/>
  <c r="C2" i="2"/>
  <c r="K2" i="2"/>
  <c r="D3" i="2"/>
  <c r="L3" i="2"/>
  <c r="E4" i="2"/>
  <c r="M4" i="2"/>
  <c r="F5" i="2"/>
  <c r="N5" i="2"/>
  <c r="G6" i="2"/>
  <c r="O6" i="2"/>
  <c r="H7" i="2"/>
  <c r="A8" i="2"/>
  <c r="I8" i="2"/>
  <c r="B9" i="2"/>
  <c r="J9" i="2"/>
  <c r="C10" i="2"/>
  <c r="K10" i="2"/>
  <c r="D11" i="2"/>
  <c r="L11" i="2"/>
  <c r="E12" i="2"/>
  <c r="M12" i="2"/>
  <c r="O1" i="2"/>
  <c r="D9" i="2"/>
  <c r="N11" i="2"/>
  <c r="H12" i="2"/>
  <c r="K5" i="2"/>
  <c r="M7" i="2"/>
  <c r="A11" i="2"/>
  <c r="D2" i="2"/>
  <c r="L2" i="2"/>
  <c r="E3" i="2"/>
  <c r="M3" i="2"/>
  <c r="F4" i="2"/>
  <c r="N4" i="2"/>
  <c r="G5" i="2"/>
  <c r="O5" i="2"/>
  <c r="H6" i="2"/>
  <c r="A7" i="2"/>
  <c r="I7" i="2"/>
  <c r="B8" i="2"/>
  <c r="J8" i="2"/>
  <c r="C9" i="2"/>
  <c r="K9" i="2"/>
  <c r="D10" i="2"/>
  <c r="L10" i="2"/>
  <c r="E11" i="2"/>
  <c r="M11" i="2"/>
  <c r="F12" i="2"/>
  <c r="N12" i="2"/>
  <c r="H1" i="2"/>
  <c r="A1" i="2"/>
  <c r="J7" i="2"/>
  <c r="L9" i="2"/>
  <c r="F11" i="2"/>
  <c r="B1" i="2"/>
  <c r="I3" i="2"/>
  <c r="D6" i="2"/>
  <c r="O9" i="2"/>
  <c r="J12" i="2"/>
  <c r="E2" i="2"/>
  <c r="M2" i="2"/>
  <c r="F3" i="2"/>
  <c r="N3" i="2"/>
  <c r="G4" i="2"/>
  <c r="O4" i="2"/>
  <c r="H5" i="2"/>
  <c r="A6" i="2"/>
  <c r="I6" i="2"/>
  <c r="B7" i="2"/>
  <c r="K8" i="2"/>
  <c r="M10" i="2"/>
  <c r="O12" i="2"/>
  <c r="K1" i="2"/>
  <c r="B4" i="2"/>
  <c r="E7" i="2"/>
  <c r="H10" i="2"/>
  <c r="L1" i="2"/>
  <c r="F2" i="2"/>
  <c r="N2" i="2"/>
  <c r="G3" i="2"/>
  <c r="O3" i="2"/>
  <c r="H4" i="2"/>
  <c r="A5" i="2"/>
  <c r="I5" i="2"/>
  <c r="B6" i="2"/>
  <c r="J6" i="2"/>
  <c r="C7" i="2"/>
  <c r="K7" i="2"/>
  <c r="D8" i="2"/>
  <c r="L8" i="2"/>
  <c r="E9" i="2"/>
  <c r="M9" i="2"/>
  <c r="F10" i="2"/>
  <c r="N10" i="2"/>
  <c r="G11" i="2"/>
  <c r="O11" i="2"/>
  <c r="J1" i="2"/>
  <c r="J4" i="2"/>
  <c r="N8" i="2"/>
  <c r="D1" i="2"/>
  <c r="G2" i="2"/>
  <c r="O2" i="2"/>
  <c r="H3" i="2"/>
  <c r="A4" i="2"/>
  <c r="I4" i="2"/>
  <c r="B5" i="2"/>
  <c r="J5" i="2"/>
  <c r="C6" i="2"/>
  <c r="K6" i="2"/>
  <c r="D7" i="2"/>
  <c r="L7" i="2"/>
  <c r="E8" i="2"/>
  <c r="M8" i="2"/>
  <c r="F9" i="2"/>
  <c r="N9" i="2"/>
  <c r="G10" i="2"/>
  <c r="O10" i="2"/>
  <c r="H11" i="2"/>
  <c r="A12" i="2"/>
  <c r="I12" i="2"/>
  <c r="C1" i="2"/>
  <c r="A3" i="2"/>
  <c r="L6" i="2"/>
  <c r="F8" i="2"/>
  <c r="I11" i="2"/>
  <c r="E1" i="2"/>
  <c r="S3" i="1"/>
  <c r="S4" i="1" s="1"/>
  <c r="X3" i="1"/>
  <c r="Z3" i="1" s="1"/>
  <c r="X2" i="1"/>
  <c r="Z2" i="1" s="1"/>
  <c r="Y5" i="1" l="1"/>
  <c r="X5" i="1" s="1"/>
  <c r="W5" i="1" s="1"/>
  <c r="Y4" i="1"/>
  <c r="X4" i="1" s="1"/>
  <c r="W4" i="1" s="1"/>
  <c r="W2" i="1"/>
  <c r="W3" i="1"/>
  <c r="T4" i="1"/>
  <c r="Z5" i="1" l="1"/>
  <c r="Z4" i="1"/>
  <c r="R12" i="2" l="1"/>
  <c r="C24" i="2" l="1"/>
  <c r="C12" i="1" s="1"/>
  <c r="AD7" i="2"/>
  <c r="O19" i="2"/>
  <c r="O7" i="1" s="1"/>
  <c r="Q11" i="2"/>
  <c r="B23" i="2"/>
  <c r="B11" i="1" s="1"/>
  <c r="AC8" i="2"/>
  <c r="N20" i="2"/>
  <c r="N8" i="1" s="1"/>
  <c r="AD9" i="2"/>
  <c r="O21" i="2"/>
  <c r="O9" i="1" s="1"/>
  <c r="AD8" i="2"/>
  <c r="O20" i="2"/>
  <c r="O8" i="1" s="1"/>
  <c r="AD10" i="2"/>
  <c r="O22" i="2"/>
  <c r="O10" i="1" s="1"/>
  <c r="AD11" i="2"/>
  <c r="O23" i="2"/>
  <c r="O11" i="1" s="1"/>
  <c r="AD2" i="2"/>
  <c r="O14" i="2"/>
  <c r="O2" i="1" s="1"/>
  <c r="P12" i="2"/>
  <c r="A24" i="2"/>
  <c r="A12" i="1" s="1"/>
  <c r="AC11" i="2"/>
  <c r="N23" i="2"/>
  <c r="N11" i="1" s="1"/>
  <c r="AC10" i="2"/>
  <c r="N22" i="2"/>
  <c r="N10" i="1" s="1"/>
  <c r="AC4" i="2"/>
  <c r="N16" i="2"/>
  <c r="N4" i="1" s="1"/>
  <c r="AC9" i="2"/>
  <c r="N21" i="2"/>
  <c r="N9" i="1" s="1"/>
  <c r="AC2" i="2"/>
  <c r="N14" i="2"/>
  <c r="N2" i="1" s="1"/>
  <c r="AB11" i="2"/>
  <c r="M23" i="2"/>
  <c r="M11" i="1" s="1"/>
  <c r="AD3" i="2"/>
  <c r="O15" i="2"/>
  <c r="O3" i="1" s="1"/>
  <c r="AC7" i="2"/>
  <c r="N19" i="2"/>
  <c r="N7" i="1" s="1"/>
  <c r="AB7" i="2"/>
  <c r="M19" i="2"/>
  <c r="M7" i="1" s="1"/>
  <c r="AD6" i="2"/>
  <c r="O18" i="2"/>
  <c r="O6" i="1" s="1"/>
  <c r="AB2" i="2"/>
  <c r="M14" i="2"/>
  <c r="M2" i="1" s="1"/>
  <c r="AD4" i="2"/>
  <c r="O16" i="2"/>
  <c r="O4" i="1" s="1"/>
  <c r="AB9" i="2"/>
  <c r="M21" i="2"/>
  <c r="M9" i="1" s="1"/>
  <c r="AB10" i="2"/>
  <c r="M22" i="2"/>
  <c r="M10" i="1" s="1"/>
  <c r="AB6" i="2"/>
  <c r="M18" i="2"/>
  <c r="M6" i="1" s="1"/>
  <c r="AA9" i="2"/>
  <c r="L21" i="2"/>
  <c r="L9" i="1" s="1"/>
  <c r="AC3" i="2"/>
  <c r="N15" i="2"/>
  <c r="N3" i="1" s="1"/>
  <c r="AA10" i="2"/>
  <c r="L22" i="2"/>
  <c r="L10" i="1" s="1"/>
  <c r="AA7" i="2"/>
  <c r="L19" i="2"/>
  <c r="L7" i="1" s="1"/>
  <c r="AA2" i="2"/>
  <c r="L14" i="2"/>
  <c r="L2" i="1" s="1"/>
  <c r="AA11" i="2"/>
  <c r="L23" i="2"/>
  <c r="L11" i="1" s="1"/>
  <c r="AA6" i="2"/>
  <c r="L18" i="2"/>
  <c r="L6" i="1" s="1"/>
  <c r="Z11" i="2"/>
  <c r="K23" i="2"/>
  <c r="K11" i="1" s="1"/>
  <c r="AB4" i="2"/>
  <c r="M16" i="2"/>
  <c r="M4" i="1" s="1"/>
  <c r="AB8" i="2"/>
  <c r="M20" i="2"/>
  <c r="M8" i="1" s="1"/>
  <c r="Z7" i="2"/>
  <c r="K19" i="2"/>
  <c r="K7" i="1" s="1"/>
  <c r="AB3" i="2"/>
  <c r="M15" i="2"/>
  <c r="M3" i="1" s="1"/>
  <c r="Z2" i="2"/>
  <c r="K14" i="2"/>
  <c r="K2" i="1" s="1"/>
  <c r="Z9" i="2"/>
  <c r="K21" i="2"/>
  <c r="K9" i="1" s="1"/>
  <c r="Z10" i="2"/>
  <c r="K22" i="2"/>
  <c r="K10" i="1" s="1"/>
  <c r="AA4" i="2"/>
  <c r="L16" i="2"/>
  <c r="L4" i="1" s="1"/>
  <c r="Y10" i="2"/>
  <c r="J22" i="2"/>
  <c r="J10" i="1" s="1"/>
  <c r="Y11" i="2"/>
  <c r="J23" i="2"/>
  <c r="J11" i="1" s="1"/>
  <c r="AD1" i="2"/>
  <c r="O13" i="2"/>
  <c r="O1" i="1" s="1"/>
  <c r="AA3" i="2"/>
  <c r="L15" i="2"/>
  <c r="L3" i="1" s="1"/>
  <c r="Y2" i="2"/>
  <c r="J14" i="2"/>
  <c r="J2" i="1" s="1"/>
  <c r="Y9" i="2"/>
  <c r="J21" i="2"/>
  <c r="J9" i="1" s="1"/>
  <c r="AA8" i="2"/>
  <c r="L20" i="2"/>
  <c r="L8" i="1" s="1"/>
  <c r="Y7" i="2"/>
  <c r="J19" i="2"/>
  <c r="J7" i="1" s="1"/>
  <c r="AD12" i="2"/>
  <c r="O24" i="2"/>
  <c r="O12" i="1" s="1"/>
  <c r="Z8" i="2"/>
  <c r="K20" i="2"/>
  <c r="K8" i="1" s="1"/>
  <c r="X11" i="2"/>
  <c r="I23" i="2"/>
  <c r="I11" i="1" s="1"/>
  <c r="Z4" i="2"/>
  <c r="K16" i="2"/>
  <c r="K4" i="1" s="1"/>
  <c r="X7" i="2"/>
  <c r="I19" i="2"/>
  <c r="I7" i="1" s="1"/>
  <c r="Z3" i="2"/>
  <c r="K15" i="2"/>
  <c r="K3" i="1" s="1"/>
  <c r="X9" i="2"/>
  <c r="I21" i="2"/>
  <c r="I9" i="1" s="1"/>
  <c r="Z6" i="2"/>
  <c r="K18" i="2"/>
  <c r="K6" i="1" s="1"/>
  <c r="X10" i="2"/>
  <c r="I22" i="2"/>
  <c r="I10" i="1" s="1"/>
  <c r="W9" i="2"/>
  <c r="H21" i="2"/>
  <c r="H9" i="1" s="1"/>
  <c r="X2" i="2"/>
  <c r="I14" i="2"/>
  <c r="I2" i="1" s="1"/>
  <c r="Y4" i="2"/>
  <c r="J16" i="2"/>
  <c r="J4" i="1" s="1"/>
  <c r="AC1" i="2"/>
  <c r="N13" i="2"/>
  <c r="N1" i="1" s="1"/>
  <c r="Y3" i="2"/>
  <c r="J15" i="2"/>
  <c r="J3" i="1" s="1"/>
  <c r="W11" i="2"/>
  <c r="H23" i="2"/>
  <c r="H11" i="1" s="1"/>
  <c r="AC12" i="2"/>
  <c r="N24" i="2"/>
  <c r="N12" i="1" s="1"/>
  <c r="W2" i="2"/>
  <c r="H14" i="2"/>
  <c r="H2" i="1" s="1"/>
  <c r="Y6" i="2"/>
  <c r="J18" i="2"/>
  <c r="J6" i="1" s="1"/>
  <c r="Y8" i="2"/>
  <c r="J20" i="2"/>
  <c r="J8" i="1" s="1"/>
  <c r="W10" i="2"/>
  <c r="H22" i="2"/>
  <c r="H10" i="1" s="1"/>
  <c r="W7" i="2"/>
  <c r="H19" i="2"/>
  <c r="H7" i="1" s="1"/>
  <c r="V9" i="2"/>
  <c r="G21" i="2"/>
  <c r="G9" i="1" s="1"/>
  <c r="V2" i="2"/>
  <c r="G14" i="2"/>
  <c r="G2" i="1" s="1"/>
  <c r="X3" i="2"/>
  <c r="I15" i="2"/>
  <c r="I3" i="1" s="1"/>
  <c r="V11" i="2"/>
  <c r="G23" i="2"/>
  <c r="G11" i="1" s="1"/>
  <c r="AB12" i="2"/>
  <c r="M24" i="2"/>
  <c r="M12" i="1" s="1"/>
  <c r="X8" i="2"/>
  <c r="I20" i="2"/>
  <c r="I8" i="1" s="1"/>
  <c r="V7" i="2"/>
  <c r="G19" i="2"/>
  <c r="G7" i="1" s="1"/>
  <c r="V10" i="2"/>
  <c r="G22" i="2"/>
  <c r="G10" i="1" s="1"/>
  <c r="X6" i="2"/>
  <c r="I18" i="2"/>
  <c r="I6" i="1" s="1"/>
  <c r="X4" i="2"/>
  <c r="I16" i="2"/>
  <c r="I4" i="1" s="1"/>
  <c r="W3" i="2"/>
  <c r="H15" i="2"/>
  <c r="H3" i="1" s="1"/>
  <c r="U11" i="2"/>
  <c r="F23" i="2"/>
  <c r="F11" i="1" s="1"/>
  <c r="AA12" i="2"/>
  <c r="L24" i="2"/>
  <c r="L12" i="1" s="1"/>
  <c r="W8" i="2"/>
  <c r="H20" i="2"/>
  <c r="H8" i="1" s="1"/>
  <c r="U2" i="2"/>
  <c r="F14" i="2"/>
  <c r="F2" i="1" s="1"/>
  <c r="W4" i="2"/>
  <c r="H16" i="2"/>
  <c r="H4" i="1" s="1"/>
  <c r="W6" i="2"/>
  <c r="H18" i="2"/>
  <c r="H6" i="1" s="1"/>
  <c r="U9" i="2"/>
  <c r="F21" i="2"/>
  <c r="F9" i="1" s="1"/>
  <c r="U7" i="2"/>
  <c r="F19" i="2"/>
  <c r="F7" i="1" s="1"/>
  <c r="U10" i="2"/>
  <c r="F22" i="2"/>
  <c r="F10" i="1" s="1"/>
  <c r="AB1" i="2"/>
  <c r="M13" i="2"/>
  <c r="M1" i="1" s="1"/>
  <c r="V4" i="2"/>
  <c r="G16" i="2"/>
  <c r="G4" i="1" s="1"/>
  <c r="Z12" i="2"/>
  <c r="K24" i="2"/>
  <c r="K12" i="1" s="1"/>
  <c r="T9" i="2"/>
  <c r="E21" i="2"/>
  <c r="E9" i="1" s="1"/>
  <c r="V8" i="2"/>
  <c r="G20" i="2"/>
  <c r="G8" i="1" s="1"/>
  <c r="T2" i="2"/>
  <c r="E14" i="2"/>
  <c r="E2" i="1" s="1"/>
  <c r="V3" i="2"/>
  <c r="G15" i="2"/>
  <c r="G3" i="1" s="1"/>
  <c r="T7" i="2"/>
  <c r="E19" i="2"/>
  <c r="E7" i="1" s="1"/>
  <c r="T11" i="2"/>
  <c r="E23" i="2"/>
  <c r="E11" i="1" s="1"/>
  <c r="T10" i="2"/>
  <c r="E22" i="2"/>
  <c r="E10" i="1" s="1"/>
  <c r="V6" i="2"/>
  <c r="G18" i="2"/>
  <c r="G6" i="1" s="1"/>
  <c r="R11" i="2"/>
  <c r="C23" i="2"/>
  <c r="C11" i="1" s="1"/>
  <c r="S7" i="2"/>
  <c r="D19" i="2"/>
  <c r="D7" i="1" s="1"/>
  <c r="U8" i="2"/>
  <c r="F20" i="2"/>
  <c r="F8" i="1" s="1"/>
  <c r="AA1" i="2"/>
  <c r="L13" i="2"/>
  <c r="L1" i="1" s="1"/>
  <c r="Z1" i="2"/>
  <c r="K13" i="2"/>
  <c r="K1" i="1" s="1"/>
  <c r="S11" i="2"/>
  <c r="D23" i="2"/>
  <c r="D11" i="1" s="1"/>
  <c r="S2" i="2"/>
  <c r="D14" i="2"/>
  <c r="D2" i="1" s="1"/>
  <c r="S10" i="2"/>
  <c r="D22" i="2"/>
  <c r="D10" i="1" s="1"/>
  <c r="U3" i="2"/>
  <c r="F15" i="2"/>
  <c r="F3" i="1" s="1"/>
  <c r="S9" i="2"/>
  <c r="D21" i="2"/>
  <c r="D9" i="1" s="1"/>
  <c r="Y12" i="2"/>
  <c r="J24" i="2"/>
  <c r="J12" i="1" s="1"/>
  <c r="U4" i="2"/>
  <c r="F16" i="2"/>
  <c r="F4" i="1" s="1"/>
  <c r="T3" i="2"/>
  <c r="E15" i="2"/>
  <c r="E3" i="1" s="1"/>
  <c r="U6" i="2"/>
  <c r="F18" i="2"/>
  <c r="F6" i="1" s="1"/>
  <c r="Y1" i="2"/>
  <c r="J13" i="2"/>
  <c r="J1" i="1" s="1"/>
  <c r="T4" i="2"/>
  <c r="E16" i="2"/>
  <c r="E4" i="1" s="1"/>
  <c r="R2" i="2"/>
  <c r="C14" i="2"/>
  <c r="C2" i="1" s="1"/>
  <c r="X12" i="2"/>
  <c r="I24" i="2" l="1"/>
  <c r="I12" i="1" s="1"/>
  <c r="R7" i="2"/>
  <c r="C19" i="2"/>
  <c r="C7" i="1" s="1"/>
  <c r="R9" i="2"/>
  <c r="C21" i="2"/>
  <c r="C9" i="1" s="1"/>
  <c r="R10" i="2"/>
  <c r="C22" i="2"/>
  <c r="C10" i="1" s="1"/>
  <c r="T8" i="2"/>
  <c r="E20" i="2"/>
  <c r="E8" i="1" s="1"/>
  <c r="T6" i="2"/>
  <c r="E18" i="2"/>
  <c r="E6" i="1" s="1"/>
  <c r="X1" i="2"/>
  <c r="I13" i="2"/>
  <c r="I1" i="1" s="1"/>
  <c r="P7" i="2"/>
  <c r="A19" i="2"/>
  <c r="A7" i="1" s="1"/>
  <c r="P2" i="2"/>
  <c r="A14" i="2"/>
  <c r="A2" i="1" s="1"/>
  <c r="P10" i="2"/>
  <c r="A22" i="2" l="1"/>
  <c r="A10" i="1" s="1"/>
  <c r="Q2" i="2"/>
  <c r="B14" i="2"/>
  <c r="B2" i="1" s="1"/>
  <c r="Q9" i="2"/>
  <c r="B21" i="2" l="1"/>
  <c r="B9" i="1" s="1"/>
  <c r="P9" i="2"/>
  <c r="A21" i="2"/>
  <c r="A9" i="1" s="1"/>
  <c r="S4" i="2"/>
  <c r="D16" i="2"/>
  <c r="D4" i="1" s="1"/>
  <c r="S6" i="2"/>
  <c r="D18" i="2"/>
  <c r="D6" i="1" s="1"/>
  <c r="S8" i="2"/>
  <c r="D20" i="2"/>
  <c r="D8" i="1" s="1"/>
  <c r="S3" i="2"/>
  <c r="D15" i="2"/>
  <c r="D3" i="1" s="1"/>
  <c r="Q7" i="2"/>
  <c r="B19" i="2" l="1"/>
  <c r="B7" i="1" s="1"/>
  <c r="W12" i="2"/>
  <c r="H24" i="2"/>
  <c r="H12" i="1" s="1"/>
  <c r="Q10" i="2"/>
  <c r="B22" i="2"/>
  <c r="B10" i="1" s="1"/>
  <c r="R6" i="2"/>
  <c r="C18" i="2"/>
  <c r="C6" i="1" s="1"/>
  <c r="R4" i="2"/>
  <c r="C16" i="2"/>
  <c r="C4" i="1" s="1"/>
  <c r="U12" i="2"/>
  <c r="F24" i="2" l="1"/>
  <c r="F12" i="1" s="1"/>
  <c r="V12" i="2"/>
  <c r="G24" i="2"/>
  <c r="G12" i="1" s="1"/>
  <c r="Q6" i="2"/>
  <c r="B18" i="2"/>
  <c r="B6" i="1" s="1"/>
  <c r="R3" i="2"/>
  <c r="C15" i="2"/>
  <c r="C3" i="1" s="1"/>
  <c r="W1" i="2"/>
  <c r="H13" i="2"/>
  <c r="H1" i="1" s="1"/>
  <c r="P8" i="2"/>
  <c r="A20" i="2"/>
  <c r="A8" i="1" s="1"/>
  <c r="P3" i="2"/>
  <c r="A15" i="2"/>
  <c r="A3" i="1" s="1"/>
  <c r="Q4" i="2"/>
  <c r="B16" i="2"/>
  <c r="B4" i="1" s="1"/>
  <c r="P4" i="2"/>
  <c r="A16" i="2"/>
  <c r="A4" i="1" s="1"/>
  <c r="P6" i="2"/>
  <c r="A18" i="2"/>
  <c r="A6" i="1" s="1"/>
  <c r="R8" i="2"/>
  <c r="C20" i="2"/>
  <c r="C8" i="1" s="1"/>
  <c r="Q3" i="2"/>
  <c r="B15" i="2"/>
  <c r="B3" i="1" s="1"/>
  <c r="T12" i="2"/>
  <c r="E24" i="2" l="1"/>
  <c r="E12" i="1" s="1"/>
  <c r="S12" i="2"/>
  <c r="D24" i="2"/>
  <c r="D12" i="1" s="1"/>
  <c r="Q8" i="2"/>
  <c r="B20" i="2"/>
  <c r="B8" i="1" s="1"/>
  <c r="AA5" i="2"/>
  <c r="L17" i="2"/>
  <c r="L5" i="1" s="1"/>
  <c r="Q12" i="2"/>
  <c r="U1" i="2"/>
  <c r="B24" i="2" l="1"/>
  <c r="B12" i="1" s="1"/>
  <c r="F13" i="2"/>
  <c r="F1" i="1" s="1"/>
  <c r="AC5" i="2"/>
  <c r="N17" i="2"/>
  <c r="N5" i="1" s="1"/>
  <c r="Z5" i="2"/>
  <c r="K17" i="2"/>
  <c r="K5" i="1" s="1"/>
  <c r="AB5" i="2"/>
  <c r="M17" i="2"/>
  <c r="M5" i="1" s="1"/>
  <c r="S1" i="2"/>
  <c r="D13" i="2"/>
  <c r="D1" i="1" s="1"/>
  <c r="T1" i="2"/>
  <c r="E13" i="2"/>
  <c r="E1" i="1" s="1"/>
  <c r="V1" i="2"/>
  <c r="G13" i="2"/>
  <c r="G1" i="1" s="1"/>
  <c r="Y5" i="2"/>
  <c r="J17" i="2"/>
  <c r="J5" i="1" s="1"/>
  <c r="R1" i="2"/>
  <c r="C13" i="2"/>
  <c r="C1" i="1" s="1"/>
  <c r="Q1" i="2"/>
  <c r="B13" i="2"/>
  <c r="B1" i="1" s="1"/>
  <c r="U5" i="2"/>
  <c r="F17" i="2" l="1"/>
  <c r="F5" i="1" s="1"/>
  <c r="X5" i="2"/>
  <c r="I17" i="2"/>
  <c r="I5" i="1" s="1"/>
  <c r="T5" i="2"/>
  <c r="E17" i="2"/>
  <c r="E5" i="1" s="1"/>
  <c r="Q5" i="2"/>
  <c r="B17" i="2"/>
  <c r="B5" i="1" s="1"/>
  <c r="P5" i="2"/>
  <c r="A17" i="2" l="1"/>
  <c r="A5" i="1" s="1"/>
  <c r="P11" i="2"/>
  <c r="A23" i="2" l="1"/>
  <c r="A11" i="1" s="1"/>
  <c r="P1" i="2"/>
  <c r="A13" i="2"/>
  <c r="A1" i="1" s="1"/>
  <c r="W5" i="2"/>
  <c r="H17" i="2"/>
  <c r="H5" i="1" s="1"/>
  <c r="S5" i="2"/>
  <c r="D17" i="2"/>
  <c r="D5" i="1" s="1"/>
  <c r="AD5" i="2"/>
  <c r="O17" i="2"/>
  <c r="O5" i="1" s="1"/>
  <c r="V5" i="2"/>
  <c r="G17" i="2"/>
  <c r="G5" i="1" s="1"/>
  <c r="R5" i="2"/>
  <c r="C17" i="2" l="1"/>
  <c r="C5" i="1" s="1"/>
  <c r="AA2" i="1"/>
  <c r="AC6" i="2"/>
  <c r="AC2" i="1" l="1"/>
  <c r="N18" i="2"/>
  <c r="N6" i="1" s="1"/>
  <c r="AA5" i="1"/>
  <c r="AA4" i="1"/>
  <c r="AA3" i="1"/>
  <c r="AC5" i="1" l="1"/>
  <c r="AC4" i="1"/>
  <c r="AC3" i="1"/>
</calcChain>
</file>

<file path=xl/sharedStrings.xml><?xml version="1.0" encoding="utf-8"?>
<sst xmlns="http://schemas.openxmlformats.org/spreadsheetml/2006/main" count="23" uniqueCount="23">
  <si>
    <t>O</t>
  </si>
  <si>
    <t>A</t>
  </si>
  <si>
    <t>World_x</t>
  </si>
  <si>
    <t>World_y</t>
  </si>
  <si>
    <t>X_map</t>
  </si>
  <si>
    <t>Y_map</t>
  </si>
  <si>
    <t>Screen position: (Col,Row)</t>
  </si>
  <si>
    <t>Up</t>
  </si>
  <si>
    <t>Down</t>
  </si>
  <si>
    <t>Left</t>
  </si>
  <si>
    <t>Right</t>
  </si>
  <si>
    <t>bool: edge of screen?</t>
  </si>
  <si>
    <t>Adjacent Tile</t>
  </si>
  <si>
    <t>X/y trans on move</t>
  </si>
  <si>
    <t>New Position on move</t>
  </si>
  <si>
    <t>Algorithm: Check adjacent tile in a certain direction, if it is overflow(0/13)(&gt;A or P), we know that we are on the edge of the screen (this program assumes being on the edge guarantees movement ability), otherwise check for a 0 on the screen to the left, relative of our current position, a 0 indicates that we cannot move. If there is no 0, we will add/subtract 1 to the appropriate world coordinate</t>
  </si>
  <si>
    <t>Structure for data page</t>
  </si>
  <si>
    <t>uses x_map and y_map to know which tile to ref.</t>
  </si>
  <si>
    <t>Indirect referencing of data on the left</t>
  </si>
  <si>
    <t>Pulls the zeros from the right (passed to the game)</t>
  </si>
  <si>
    <t>the maze; all 1/0s; 0 is wall, anything else is not</t>
  </si>
  <si>
    <t>MACROS: Ctrl Shift WASD for movment and CTRL SHIFT Z for a reset</t>
  </si>
  <si>
    <t>Screen position: (screen coords)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</si>
</sst>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omic Sans MS"/>
      <family val="4"/>
    </font>
    <font>
      <sz val="26"/>
      <color rgb="FFFFFF00"/>
      <name val="Calibri"/>
      <family val="2"/>
      <scheme val="minor"/>
    </font>
    <font>
      <sz val="11"/>
      <color theme="1"/>
      <name val="Webdings"/>
      <family val="1"/>
      <charset val="2"/>
    </font>
    <font>
      <i/>
      <sz val="26"/>
      <color rgb="FFFF0000"/>
      <name val="AR BERKLEY"/>
    </font>
    <font>
      <sz val="26"/>
      <color rgb="FFFF0000"/>
      <name val="Bauhaus 93"/>
      <family val="5"/>
    </font>
    <font>
      <sz val="26"/>
      <color rgb="FFFFFF00"/>
      <name val="Comic Sans MS"/>
      <family val="4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0" borderId="0" xfId="0" applyFont="1" applyFill="1" applyAlignment="1"/>
    <xf numFmtId="0" fontId="8" fillId="0" borderId="0" xfId="0" applyFont="1" applyFill="1" applyAlignment="1"/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top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vertical="top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ill="1"/>
    <xf numFmtId="0" fontId="5" fillId="0" borderId="0" xfId="0" applyFont="1" applyFill="1" applyAlignment="1"/>
    <xf numFmtId="0" fontId="4" fillId="0" borderId="0" xfId="0" applyFont="1" applyFill="1" applyAlignment="1"/>
    <xf numFmtId="0" fontId="6" fillId="0" borderId="0" xfId="0" applyFont="1" applyFill="1" applyAlignment="1"/>
    <xf numFmtId="0" fontId="10" fillId="0" borderId="0" xfId="0" applyFont="1" applyFill="1" applyAlignment="1"/>
    <xf numFmtId="0" fontId="2" fillId="0" borderId="0" xfId="0" applyFont="1" applyFill="1"/>
    <xf numFmtId="0" fontId="3" fillId="0" borderId="0" xfId="0" applyFont="1" applyFill="1"/>
    <xf numFmtId="0" fontId="7" fillId="0" borderId="0" xfId="0" applyFont="1" applyFill="1"/>
  </cellXfs>
  <cellStyles count="1">
    <cellStyle name="Normal" xfId="0" builtinId="0"/>
  </cellStyles>
  <dxfs count="2">
    <dxf>
      <fill>
        <patternFill>
          <bgColor rgb="FF99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009900"/>
      <color rgb="FF003300"/>
      <color rgb="FFFF33CC"/>
      <color rgb="FFE8760E"/>
      <color rgb="FF00FF00"/>
      <color rgb="FF00FF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2"/>
  <sheetViews>
    <sheetView tabSelected="1" zoomScaleNormal="100" workbookViewId="0">
      <selection activeCell="Q4" sqref="Q4"/>
    </sheetView>
  </sheetViews>
  <sheetFormatPr defaultRowHeight="14.4" x14ac:dyDescent="0.3"/>
  <cols>
    <col min="1" max="1" width="7.109375" customWidth="1"/>
    <col min="2" max="16" width="7.21875" style="1" customWidth="1"/>
    <col min="17" max="19" width="8.88671875" style="1" customWidth="1"/>
    <col min="20" max="29" width="8.88671875" customWidth="1"/>
    <col min="33" max="33" width="10" customWidth="1"/>
    <col min="34" max="34" width="12.77734375" customWidth="1"/>
    <col min="35" max="35" width="11.88671875" customWidth="1"/>
  </cols>
  <sheetData>
    <row r="1" spans="1:39" ht="38.4" customHeight="1" x14ac:dyDescent="0.3">
      <c r="A1" s="13">
        <f ca="1">IF(AND($S$3=COLUMN(A1),$T$3=ROW(A1)),"*",Sheet2!A13)</f>
        <v>0</v>
      </c>
      <c r="B1" s="13">
        <f ca="1">IF(AND($S$3=COLUMN(B1),$T$3=ROW(B1)),"*",Sheet2!B13)</f>
        <v>0</v>
      </c>
      <c r="C1" s="13">
        <f ca="1">IF(AND($S$3=COLUMN(C1),$T$3=ROW(C1)),"*",Sheet2!C13)</f>
        <v>0</v>
      </c>
      <c r="D1" s="13">
        <f ca="1">IF(AND($S$3=COLUMN(D1),$T$3=ROW(D1)),"*",Sheet2!D13)</f>
        <v>0</v>
      </c>
      <c r="E1" s="13">
        <f ca="1">IF(AND($S$3=COLUMN(E1),$T$3=ROW(E1)),"*",Sheet2!E13)</f>
        <v>0</v>
      </c>
      <c r="F1" s="13">
        <f ca="1">IF(AND($S$3=COLUMN(F1),$T$3=ROW(F1)),"*",Sheet2!F13)</f>
        <v>0</v>
      </c>
      <c r="G1" s="13">
        <f ca="1">IF(AND($S$3=COLUMN(G1),$T$3=ROW(G1)),"*",Sheet2!G13)</f>
        <v>0</v>
      </c>
      <c r="H1" s="13">
        <f ca="1">IF(AND($S$3=COLUMN(H1),$T$3=ROW(H1)),"*",Sheet2!H13)</f>
        <v>0</v>
      </c>
      <c r="I1" s="13">
        <f ca="1">IF(AND($S$3=COLUMN(I1),$T$3=ROW(I1)),"*",Sheet2!I13)</f>
        <v>0</v>
      </c>
      <c r="J1" s="13">
        <f ca="1">IF(AND($S$3=COLUMN(J1),$T$3=ROW(J1)),"*",Sheet2!J13)</f>
        <v>0</v>
      </c>
      <c r="K1" s="13">
        <f ca="1">IF(AND($S$3=COLUMN(K1),$T$3=ROW(K1)),"*",Sheet2!K13)</f>
        <v>0</v>
      </c>
      <c r="L1" s="13">
        <f ca="1">IF(AND($S$3=COLUMN(L1),$T$3=ROW(L1)),"*",Sheet2!L13)</f>
        <v>0</v>
      </c>
      <c r="M1" s="13">
        <f ca="1">IF(AND($S$3=COLUMN(M1),$T$3=ROW(M1)),"*",Sheet2!M13)</f>
        <v>0</v>
      </c>
      <c r="N1" s="13">
        <f ca="1">IF(AND($S$3=COLUMN(N1),$T$3=ROW(N1)),"*",Sheet2!N13)</f>
        <v>0</v>
      </c>
      <c r="O1" s="13">
        <f ca="1">IF(AND($S$3=COLUMN(O1),$T$3=ROW(O1)),"*",Sheet2!O13)</f>
        <v>0</v>
      </c>
      <c r="P1" s="11"/>
      <c r="Q1" s="11" t="s">
        <v>2</v>
      </c>
      <c r="R1" s="11" t="s">
        <v>3</v>
      </c>
      <c r="S1" s="11" t="s">
        <v>4</v>
      </c>
      <c r="T1" s="12" t="s">
        <v>5</v>
      </c>
      <c r="U1" s="12"/>
      <c r="V1" s="12"/>
      <c r="W1" s="12" t="s">
        <v>12</v>
      </c>
      <c r="X1" s="12"/>
      <c r="Y1" s="18"/>
      <c r="Z1" s="21" t="s">
        <v>11</v>
      </c>
      <c r="AA1" s="20" t="s">
        <v>14</v>
      </c>
      <c r="AC1" s="19" t="s">
        <v>13</v>
      </c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 ht="38.4" customHeight="1" x14ac:dyDescent="0.9">
      <c r="A2" s="13">
        <f ca="1">IF(AND($S$3=COLUMN(A2),$T$3=ROW(A2)),"*",Sheet2!A14)</f>
        <v>0</v>
      </c>
      <c r="B2" s="13" t="str">
        <f>IF(AND($S$3=COLUMN(B2),$T$3=ROW(B2)),"*",Sheet2!B14)</f>
        <v>*</v>
      </c>
      <c r="C2" s="13" t="str">
        <f ca="1">IF(AND($S$3=COLUMN(C2),$T$3=ROW(C2)),"*",Sheet2!C14)</f>
        <v/>
      </c>
      <c r="D2" s="13">
        <f ca="1">IF(AND($S$3=COLUMN(D2),$T$3=ROW(D2)),"*",Sheet2!D14)</f>
        <v>0</v>
      </c>
      <c r="E2" s="13" t="str">
        <f ca="1">IF(AND($S$3=COLUMN(E2),$T$3=ROW(E2)),"*",Sheet2!E14)</f>
        <v/>
      </c>
      <c r="F2" s="13" t="str">
        <f ca="1">IF(AND($S$3=COLUMN(F2),$T$3=ROW(F2)),"*",Sheet2!F14)</f>
        <v/>
      </c>
      <c r="G2" s="13" t="str">
        <f ca="1">IF(AND($S$3=COLUMN(G2),$T$3=ROW(G2)),"*",Sheet2!G14)</f>
        <v/>
      </c>
      <c r="H2" s="13" t="str">
        <f ca="1">IF(AND($S$3=COLUMN(H2),$T$3=ROW(H2)),"*",Sheet2!H14)</f>
        <v/>
      </c>
      <c r="I2" s="13" t="str">
        <f ca="1">IF(AND($S$3=COLUMN(I2),$T$3=ROW(I2)),"*",Sheet2!I14)</f>
        <v/>
      </c>
      <c r="J2" s="13" t="str">
        <f ca="1">IF(AND($S$3=COLUMN(J2),$T$3=ROW(J2)),"*",Sheet2!J14)</f>
        <v/>
      </c>
      <c r="K2" s="13" t="str">
        <f ca="1">IF(AND($S$3=COLUMN(K2),$T$3=ROW(K2)),"*",Sheet2!K14)</f>
        <v/>
      </c>
      <c r="L2" s="13">
        <f ca="1">IF(AND($S$3=COLUMN(L2),$T$3=ROW(L2)),"*",Sheet2!L14)</f>
        <v>0</v>
      </c>
      <c r="M2" s="13" t="str">
        <f ca="1">IF(AND($S$3=COLUMN(M2),$T$3=ROW(M2)),"*",Sheet2!M14)</f>
        <v/>
      </c>
      <c r="N2" s="13" t="str">
        <f ca="1">IF(AND($S$3=COLUMN(N2),$T$3=ROW(N2)),"*",Sheet2!N14)</f>
        <v/>
      </c>
      <c r="O2" s="13" t="str">
        <f ca="1">IF(AND($S$3=COLUMN(O2),$T$3=ROW(O2)),"*",Sheet2!O14)</f>
        <v/>
      </c>
      <c r="P2" s="11"/>
      <c r="Q2" s="11">
        <v>2</v>
      </c>
      <c r="R2" s="11">
        <v>2</v>
      </c>
      <c r="S2" s="11">
        <f>_xlfn.CEILING.MATH(Q2/15)</f>
        <v>1</v>
      </c>
      <c r="T2" s="11">
        <f>_xlfn.CEILING.MATH(R2/12)</f>
        <v>1</v>
      </c>
      <c r="U2" s="11"/>
      <c r="V2" s="14" t="s">
        <v>7</v>
      </c>
      <c r="W2" s="12" t="str">
        <f>S4&amp; +X2</f>
        <v>B1</v>
      </c>
      <c r="X2" s="12">
        <f>T3-1</f>
        <v>1</v>
      </c>
      <c r="Y2" s="12"/>
      <c r="Z2" s="12">
        <f>IF(X2=0,1,0)</f>
        <v>0</v>
      </c>
      <c r="AA2" s="12" t="str">
        <f ca="1">IF(Z2=1,S4&amp;12,IF(INDIRECT(W2)=0,T4,W2))</f>
        <v>B2</v>
      </c>
      <c r="AC2">
        <f ca="1">IF(OR(AA2=W2,Z2=1),-1,0)</f>
        <v>0</v>
      </c>
      <c r="AD2" s="55"/>
      <c r="AE2" s="56"/>
      <c r="AF2" s="57"/>
      <c r="AG2" s="58"/>
      <c r="AH2" s="59"/>
      <c r="AI2" s="16"/>
      <c r="AJ2" s="15"/>
      <c r="AK2" s="55"/>
      <c r="AL2" s="55"/>
      <c r="AM2" s="55"/>
    </row>
    <row r="3" spans="1:39" ht="38.4" customHeight="1" x14ac:dyDescent="0.5">
      <c r="A3" s="13">
        <f ca="1">IF(AND($S$3=COLUMN(A3),$T$3=ROW(A3)),"*",Sheet2!A15)</f>
        <v>0</v>
      </c>
      <c r="B3" s="13">
        <f ca="1">IF(AND($S$3=COLUMN(B3),$T$3=ROW(B3)),"*",Sheet2!B15)</f>
        <v>0</v>
      </c>
      <c r="C3" s="13" t="str">
        <f ca="1">IF(AND($S$3=COLUMN(C3),$T$3=ROW(C3)),"*",Sheet2!C15)</f>
        <v/>
      </c>
      <c r="D3" s="13">
        <f ca="1">IF(AND($S$3=COLUMN(D3),$T$3=ROW(D3)),"*",Sheet2!D15)</f>
        <v>0</v>
      </c>
      <c r="E3" s="13" t="str">
        <f ca="1">IF(AND($S$3=COLUMN(E3),$T$3=ROW(E3)),"*",Sheet2!E15)</f>
        <v/>
      </c>
      <c r="F3" s="13">
        <f ca="1">IF(AND($S$3=COLUMN(F3),$T$3=ROW(F3)),"*",Sheet2!F15)</f>
        <v>0</v>
      </c>
      <c r="G3" s="13">
        <f ca="1">IF(AND($S$3=COLUMN(G3),$T$3=ROW(G3)),"*",Sheet2!G15)</f>
        <v>0</v>
      </c>
      <c r="H3" s="13" t="str">
        <f ca="1">IF(AND($S$3=COLUMN(H3),$T$3=ROW(H3)),"*",Sheet2!H15)</f>
        <v/>
      </c>
      <c r="I3" s="13">
        <f ca="1">IF(AND($S$3=COLUMN(I3),$T$3=ROW(I3)),"*",Sheet2!I15)</f>
        <v>0</v>
      </c>
      <c r="J3" s="13">
        <f ca="1">IF(AND($S$3=COLUMN(J3),$T$3=ROW(J3)),"*",Sheet2!J15)</f>
        <v>0</v>
      </c>
      <c r="K3" s="13" t="str">
        <f ca="1">IF(AND($S$3=COLUMN(K3),$T$3=ROW(K3)),"*",Sheet2!K15)</f>
        <v/>
      </c>
      <c r="L3" s="13">
        <f ca="1">IF(AND($S$3=COLUMN(L3),$T$3=ROW(L3)),"*",Sheet2!L15)</f>
        <v>0</v>
      </c>
      <c r="M3" s="13" t="str">
        <f ca="1">IF(AND($S$3=COLUMN(M3),$T$3=ROW(M3)),"*",Sheet2!M15)</f>
        <v/>
      </c>
      <c r="N3" s="13">
        <f ca="1">IF(AND($S$3=COLUMN(N3),$T$3=ROW(N3)),"*",Sheet2!N15)</f>
        <v>0</v>
      </c>
      <c r="O3" s="13">
        <f ca="1">IF(AND($S$3=COLUMN(O3),$T$3=ROW(O3)),"*",Sheet2!O15)</f>
        <v>0</v>
      </c>
      <c r="P3" s="17" t="s">
        <v>22</v>
      </c>
      <c r="Q3" s="17"/>
      <c r="R3" s="11"/>
      <c r="S3" s="11">
        <f>Q2-(S2-1)*15</f>
        <v>2</v>
      </c>
      <c r="T3" s="11">
        <f>R2-(T2-1)*12</f>
        <v>2</v>
      </c>
      <c r="U3" s="12"/>
      <c r="V3" s="14" t="s">
        <v>8</v>
      </c>
      <c r="W3" s="12" t="str">
        <f>S4&amp; +X3</f>
        <v>B3</v>
      </c>
      <c r="X3" s="12">
        <f>T3+1</f>
        <v>3</v>
      </c>
      <c r="Y3" s="12"/>
      <c r="Z3" s="12">
        <f>IF(X3=13,1,0)</f>
        <v>0</v>
      </c>
      <c r="AA3" s="12" t="str">
        <f ca="1">IF(Z3=1,S4&amp;1,IF(INDIRECT(W3)=0,T4,W3))</f>
        <v>B2</v>
      </c>
      <c r="AC3">
        <f ca="1">IF(OR(AA3=W3,Z3=1),1,0)</f>
        <v>0</v>
      </c>
      <c r="AD3" s="55"/>
      <c r="AE3" s="60"/>
      <c r="AF3" s="55"/>
      <c r="AG3" s="55"/>
      <c r="AH3" s="55"/>
      <c r="AI3" s="55"/>
      <c r="AJ3" s="55"/>
      <c r="AK3" s="55"/>
      <c r="AL3" s="55"/>
      <c r="AM3" s="55"/>
    </row>
    <row r="4" spans="1:39" ht="38.4" customHeight="1" x14ac:dyDescent="0.55000000000000004">
      <c r="A4" s="13">
        <f ca="1">IF(AND($S$3=COLUMN(A4),$T$3=ROW(A4)),"*",Sheet2!A16)</f>
        <v>0</v>
      </c>
      <c r="B4" s="13" t="str">
        <f ca="1">IF(AND($S$3=COLUMN(B4),$T$3=ROW(B4)),"*",Sheet2!B16)</f>
        <v/>
      </c>
      <c r="C4" s="13" t="str">
        <f ca="1">IF(AND($S$3=COLUMN(C4),$T$3=ROW(C4)),"*",Sheet2!C16)</f>
        <v/>
      </c>
      <c r="D4" s="13">
        <f ca="1">IF(AND($S$3=COLUMN(D4),$T$3=ROW(D4)),"*",Sheet2!D16)</f>
        <v>0</v>
      </c>
      <c r="E4" s="13" t="str">
        <f ca="1">IF(AND($S$3=COLUMN(E4),$T$3=ROW(E4)),"*",Sheet2!E16)</f>
        <v/>
      </c>
      <c r="F4" s="13" t="str">
        <f ca="1">IF(AND($S$3=COLUMN(F4),$T$3=ROW(F4)),"*",Sheet2!F16)</f>
        <v/>
      </c>
      <c r="G4" s="13">
        <f ca="1">IF(AND($S$3=COLUMN(G4),$T$3=ROW(G4)),"*",Sheet2!G16)</f>
        <v>0</v>
      </c>
      <c r="H4" s="13" t="str">
        <f ca="1">IF(AND($S$3=COLUMN(H4),$T$3=ROW(H4)),"*",Sheet2!H16)</f>
        <v/>
      </c>
      <c r="I4" s="13">
        <f ca="1">IF(AND($S$3=COLUMN(I4),$T$3=ROW(I4)),"*",Sheet2!I16)</f>
        <v>0</v>
      </c>
      <c r="J4" s="13" t="str">
        <f ca="1">IF(AND($S$3=COLUMN(J4),$T$3=ROW(J4)),"*",Sheet2!J16)</f>
        <v/>
      </c>
      <c r="K4" s="13" t="str">
        <f ca="1">IF(AND($S$3=COLUMN(K4),$T$3=ROW(K4)),"*",Sheet2!K16)</f>
        <v/>
      </c>
      <c r="L4" s="13" t="str">
        <f ca="1">IF(AND($S$3=COLUMN(L4),$T$3=ROW(L4)),"*",Sheet2!L16)</f>
        <v/>
      </c>
      <c r="M4" s="13" t="str">
        <f ca="1">IF(AND($S$3=COLUMN(M4),$T$3=ROW(M4)),"*",Sheet2!M16)</f>
        <v/>
      </c>
      <c r="N4" s="13">
        <f ca="1">IF(AND($S$3=COLUMN(N4),$T$3=ROW(N4)),"*",Sheet2!N16)</f>
        <v>0</v>
      </c>
      <c r="O4" s="13">
        <f ca="1">IF(AND($S$3=COLUMN(O4),$T$3=ROW(O4)),"*",Sheet2!O16)</f>
        <v>0</v>
      </c>
      <c r="P4" s="11"/>
      <c r="Q4" s="11" t="s">
        <v>6</v>
      </c>
      <c r="R4" s="11"/>
      <c r="S4" s="11" t="str">
        <f>MID("ABCDEFGHIJKLMNO",S3,1)</f>
        <v>B</v>
      </c>
      <c r="T4" s="12" t="str">
        <f>S4&amp;+T3</f>
        <v>B2</v>
      </c>
      <c r="U4" s="12"/>
      <c r="V4" s="14" t="s">
        <v>9</v>
      </c>
      <c r="W4" s="12" t="str">
        <f>X4&amp; +T3</f>
        <v>A2</v>
      </c>
      <c r="X4" s="12" t="str">
        <f>IF(Y4=0,"O",MID("ABCDEFGHIJKLMNO",Y4,1))</f>
        <v>A</v>
      </c>
      <c r="Y4" s="12">
        <f>S3-1</f>
        <v>1</v>
      </c>
      <c r="Z4" s="12">
        <f>IF(Y4=0,1,0)</f>
        <v>0</v>
      </c>
      <c r="AA4" s="12" t="str">
        <f ca="1">IF(Z4=1,AB4&amp;+S3,IF(INDIRECT(W4)=0,T4,W4))</f>
        <v>B2</v>
      </c>
      <c r="AB4" s="12" t="s">
        <v>0</v>
      </c>
      <c r="AC4">
        <f ca="1">IF(OR(AA4=W4,Z4=1),-1,0)</f>
        <v>0</v>
      </c>
      <c r="AD4" s="55"/>
      <c r="AE4" s="61"/>
      <c r="AF4" s="55"/>
      <c r="AG4" s="55"/>
      <c r="AH4" s="55"/>
      <c r="AI4" s="55"/>
      <c r="AJ4" s="55"/>
      <c r="AK4" s="55"/>
      <c r="AL4" s="55"/>
      <c r="AM4" s="55"/>
    </row>
    <row r="5" spans="1:39" ht="38.4" customHeight="1" x14ac:dyDescent="0.3">
      <c r="A5" s="13">
        <f ca="1">IF(AND($S$3=COLUMN(A5),$T$3=ROW(A5)),"*",Sheet2!A17)</f>
        <v>0</v>
      </c>
      <c r="B5" s="13" t="str">
        <f ca="1">IF(AND($S$3=COLUMN(B5),$T$3=ROW(B5)),"*",Sheet2!B17)</f>
        <v/>
      </c>
      <c r="C5" s="13">
        <f ca="1">IF(AND($S$3=COLUMN(C5),$T$3=ROW(C5)),"*",Sheet2!C17)</f>
        <v>0</v>
      </c>
      <c r="D5" s="13">
        <f ca="1">IF(AND($S$3=COLUMN(D5),$T$3=ROW(D5)),"*",Sheet2!D17)</f>
        <v>0</v>
      </c>
      <c r="E5" s="13">
        <f ca="1">IF(AND($S$3=COLUMN(E5),$T$3=ROW(E5)),"*",Sheet2!E17)</f>
        <v>0</v>
      </c>
      <c r="F5" s="13" t="str">
        <f ca="1">IF(AND($S$3=COLUMN(F5),$T$3=ROW(F5)),"*",Sheet2!F17)</f>
        <v/>
      </c>
      <c r="G5" s="13">
        <f ca="1">IF(AND($S$3=COLUMN(G5),$T$3=ROW(G5)),"*",Sheet2!G17)</f>
        <v>0</v>
      </c>
      <c r="H5" s="13" t="str">
        <f ca="1">IF(AND($S$3=COLUMN(H5),$T$3=ROW(H5)),"*",Sheet2!H17)</f>
        <v/>
      </c>
      <c r="I5" s="13">
        <f ca="1">IF(AND($S$3=COLUMN(I5),$T$3=ROW(I5)),"*",Sheet2!I17)</f>
        <v>0</v>
      </c>
      <c r="J5" s="13">
        <f ca="1">IF(AND($S$3=COLUMN(J5),$T$3=ROW(J5)),"*",Sheet2!J17)</f>
        <v>0</v>
      </c>
      <c r="K5" s="13">
        <f ca="1">IF(AND($S$3=COLUMN(K5),$T$3=ROW(K5)),"*",Sheet2!K17)</f>
        <v>0</v>
      </c>
      <c r="L5" s="13">
        <f ca="1">IF(AND($S$3=COLUMN(L5),$T$3=ROW(L5)),"*",Sheet2!L17)</f>
        <v>0</v>
      </c>
      <c r="M5" s="13">
        <f ca="1">IF(AND($S$3=COLUMN(M5),$T$3=ROW(M5)),"*",Sheet2!M17)</f>
        <v>0</v>
      </c>
      <c r="N5" s="13">
        <f ca="1">IF(AND($S$3=COLUMN(N5),$T$3=ROW(N5)),"*",Sheet2!N17)</f>
        <v>0</v>
      </c>
      <c r="O5" s="13">
        <f ca="1">IF(AND($S$3=COLUMN(O5),$T$3=ROW(O5)),"*",Sheet2!O17)</f>
        <v>0</v>
      </c>
      <c r="P5" s="11"/>
      <c r="Q5" s="11"/>
      <c r="R5" s="11"/>
      <c r="S5" s="11"/>
      <c r="T5" s="12"/>
      <c r="U5" s="12"/>
      <c r="V5" s="14" t="s">
        <v>10</v>
      </c>
      <c r="W5" s="12" t="str">
        <f>X5&amp;+T3</f>
        <v>C2</v>
      </c>
      <c r="X5" s="12" t="str">
        <f>MID("ABCDEFGHIJKLMNO",Y5,1)</f>
        <v>C</v>
      </c>
      <c r="Y5" s="12">
        <f>S3+1</f>
        <v>3</v>
      </c>
      <c r="Z5" s="12">
        <f>IF(Y5=16,1,0)</f>
        <v>0</v>
      </c>
      <c r="AA5" s="12" t="str">
        <f ca="1">IF(Z5=1,AB5&amp;+S3,IF(INDIRECT(W5)=0,T4,W5))</f>
        <v>C2</v>
      </c>
      <c r="AB5" s="12" t="s">
        <v>1</v>
      </c>
      <c r="AC5">
        <f ca="1">IF(OR(AA5=W5,Z5=1),1,0)</f>
        <v>1</v>
      </c>
      <c r="AD5" s="55"/>
      <c r="AE5" s="62"/>
      <c r="AF5" s="55"/>
      <c r="AG5" s="55"/>
      <c r="AH5" s="55"/>
      <c r="AI5" s="55"/>
      <c r="AJ5" s="55"/>
      <c r="AK5" s="55"/>
      <c r="AL5" s="55"/>
      <c r="AM5" s="55"/>
    </row>
    <row r="6" spans="1:39" ht="38.4" customHeight="1" x14ac:dyDescent="0.3">
      <c r="A6" s="13">
        <f ca="1">IF(AND($S$3=COLUMN(A6),$T$3=ROW(A6)),"*",Sheet2!A18)</f>
        <v>0</v>
      </c>
      <c r="B6" s="13" t="str">
        <f ca="1">IF(AND($S$3=COLUMN(B6),$T$3=ROW(B6)),"*",Sheet2!B18)</f>
        <v/>
      </c>
      <c r="C6" s="13" t="str">
        <f ca="1">IF(AND($S$3=COLUMN(C6),$T$3=ROW(C6)),"*",Sheet2!C18)</f>
        <v/>
      </c>
      <c r="D6" s="13" t="str">
        <f ca="1">IF(AND($S$3=COLUMN(D6),$T$3=ROW(D6)),"*",Sheet2!D18)</f>
        <v/>
      </c>
      <c r="E6" s="13" t="str">
        <f ca="1">IF(AND($S$3=COLUMN(E6),$T$3=ROW(E6)),"*",Sheet2!E18)</f>
        <v/>
      </c>
      <c r="F6" s="13" t="str">
        <f ca="1">IF(AND($S$3=COLUMN(F6),$T$3=ROW(F6)),"*",Sheet2!F18)</f>
        <v/>
      </c>
      <c r="G6" s="13" t="str">
        <f ca="1">IF(AND($S$3=COLUMN(G6),$T$3=ROW(G6)),"*",Sheet2!G18)</f>
        <v/>
      </c>
      <c r="H6" s="13" t="str">
        <f ca="1">IF(AND($S$3=COLUMN(H6),$T$3=ROW(H6)),"*",Sheet2!H18)</f>
        <v/>
      </c>
      <c r="I6" s="13" t="str">
        <f ca="1">IF(AND($S$3=COLUMN(I6),$T$3=ROW(I6)),"*",Sheet2!I18)</f>
        <v/>
      </c>
      <c r="J6" s="13" t="str">
        <f ca="1">IF(AND($S$3=COLUMN(J6),$T$3=ROW(J6)),"*",Sheet2!J18)</f>
        <v/>
      </c>
      <c r="K6" s="13" t="str">
        <f ca="1">IF(AND($S$3=COLUMN(K6),$T$3=ROW(K6)),"*",Sheet2!K18)</f>
        <v/>
      </c>
      <c r="L6" s="13">
        <f ca="1">IF(AND($S$3=COLUMN(L6),$T$3=ROW(L6)),"*",Sheet2!L18)</f>
        <v>0</v>
      </c>
      <c r="M6" s="13">
        <f ca="1">IF(AND($S$3=COLUMN(M6),$T$3=ROW(M6)),"*",Sheet2!M18)</f>
        <v>0</v>
      </c>
      <c r="N6" s="13" t="str">
        <f ca="1">IF(AND($S$3=COLUMN(N6),$T$3=ROW(N6)),"*",Sheet2!N18)</f>
        <v/>
      </c>
      <c r="O6" s="13" t="str">
        <f ca="1">IF(AND($S$3=COLUMN(O6),$T$3=ROW(O6)),"*",Sheet2!O18)</f>
        <v/>
      </c>
      <c r="P6" s="11"/>
      <c r="Q6" s="22" t="s">
        <v>15</v>
      </c>
      <c r="R6" s="22"/>
      <c r="S6" s="22"/>
      <c r="T6" s="22"/>
      <c r="U6" s="22"/>
      <c r="V6" s="22"/>
      <c r="W6" s="22"/>
      <c r="X6" s="22"/>
      <c r="Y6" s="22"/>
      <c r="Z6" s="22"/>
      <c r="AA6" s="22"/>
      <c r="AD6" s="55"/>
      <c r="AE6" s="55"/>
      <c r="AF6" s="55"/>
      <c r="AG6" s="55"/>
      <c r="AH6" s="55"/>
      <c r="AI6" s="55"/>
      <c r="AJ6" s="55"/>
      <c r="AK6" s="55"/>
      <c r="AL6" s="55"/>
      <c r="AM6" s="55"/>
    </row>
    <row r="7" spans="1:39" ht="38.4" customHeight="1" x14ac:dyDescent="0.3">
      <c r="A7" s="13">
        <f ca="1">IF(AND($S$3=COLUMN(A7),$T$3=ROW(A7)),"*",Sheet2!A19)</f>
        <v>0</v>
      </c>
      <c r="B7" s="13" t="str">
        <f ca="1">IF(AND($S$3=COLUMN(B7),$T$3=ROW(B7)),"*",Sheet2!B19)</f>
        <v/>
      </c>
      <c r="C7" s="13">
        <f ca="1">IF(AND($S$3=COLUMN(C7),$T$3=ROW(C7)),"*",Sheet2!C19)</f>
        <v>0</v>
      </c>
      <c r="D7" s="13">
        <f ca="1">IF(AND($S$3=COLUMN(D7),$T$3=ROW(D7)),"*",Sheet2!D19)</f>
        <v>0</v>
      </c>
      <c r="E7" s="13">
        <f ca="1">IF(AND($S$3=COLUMN(E7),$T$3=ROW(E7)),"*",Sheet2!E19)</f>
        <v>0</v>
      </c>
      <c r="F7" s="13">
        <f ca="1">IF(AND($S$3=COLUMN(F7),$T$3=ROW(F7)),"*",Sheet2!F19)</f>
        <v>0</v>
      </c>
      <c r="G7" s="13" t="str">
        <f ca="1">IF(AND($S$3=COLUMN(G7),$T$3=ROW(G7)),"*",Sheet2!G19)</f>
        <v/>
      </c>
      <c r="H7" s="13">
        <f ca="1">IF(AND($S$3=COLUMN(H7),$T$3=ROW(H7)),"*",Sheet2!H19)</f>
        <v>0</v>
      </c>
      <c r="I7" s="13">
        <f ca="1">IF(AND($S$3=COLUMN(I7),$T$3=ROW(I7)),"*",Sheet2!I19)</f>
        <v>0</v>
      </c>
      <c r="J7" s="13">
        <f ca="1">IF(AND($S$3=COLUMN(J7),$T$3=ROW(J7)),"*",Sheet2!J19)</f>
        <v>0</v>
      </c>
      <c r="K7" s="13" t="str">
        <f ca="1">IF(AND($S$3=COLUMN(K7),$T$3=ROW(K7)),"*",Sheet2!K19)</f>
        <v/>
      </c>
      <c r="L7" s="13">
        <f ca="1">IF(AND($S$3=COLUMN(L7),$T$3=ROW(L7)),"*",Sheet2!L19)</f>
        <v>0</v>
      </c>
      <c r="M7" s="13">
        <f ca="1">IF(AND($S$3=COLUMN(M7),$T$3=ROW(M7)),"*",Sheet2!M19)</f>
        <v>0</v>
      </c>
      <c r="N7" s="13" t="str">
        <f ca="1">IF(AND($S$3=COLUMN(N7),$T$3=ROW(N7)),"*",Sheet2!N19)</f>
        <v/>
      </c>
      <c r="O7" s="13">
        <f ca="1">IF(AND($S$3=COLUMN(O7),$T$3=ROW(O7)),"*",Sheet2!O19)</f>
        <v>0</v>
      </c>
      <c r="P7" s="11"/>
      <c r="Q7" s="11"/>
      <c r="R7" s="11"/>
      <c r="S7" s="11"/>
      <c r="T7" s="12"/>
      <c r="U7" s="12"/>
      <c r="V7" s="12"/>
      <c r="W7" s="12"/>
      <c r="X7" s="12"/>
      <c r="Y7" s="12"/>
      <c r="Z7" s="12"/>
      <c r="AD7" s="55"/>
      <c r="AE7" s="55"/>
      <c r="AF7" s="55"/>
      <c r="AG7" s="55"/>
      <c r="AH7" s="55"/>
      <c r="AI7" s="55"/>
      <c r="AJ7" s="55"/>
      <c r="AK7" s="55"/>
      <c r="AL7" s="55"/>
      <c r="AM7" s="55"/>
    </row>
    <row r="8" spans="1:39" ht="38.4" customHeight="1" x14ac:dyDescent="0.3">
      <c r="A8" s="13">
        <f ca="1">IF(AND($S$3=COLUMN(A8),$T$3=ROW(A8)),"*",Sheet2!A20)</f>
        <v>0</v>
      </c>
      <c r="B8" s="13">
        <f ca="1">IF(AND($S$3=COLUMN(B8),$T$3=ROW(B8)),"*",Sheet2!B20)</f>
        <v>0</v>
      </c>
      <c r="C8" s="13">
        <f ca="1">IF(AND($S$3=COLUMN(C8),$T$3=ROW(C8)),"*",Sheet2!C20)</f>
        <v>0</v>
      </c>
      <c r="D8" s="13" t="str">
        <f ca="1">IF(AND($S$3=COLUMN(D8),$T$3=ROW(D8)),"*",Sheet2!D20)</f>
        <v/>
      </c>
      <c r="E8" s="13" t="str">
        <f ca="1">IF(AND($S$3=COLUMN(E8),$T$3=ROW(E8)),"*",Sheet2!E20)</f>
        <v/>
      </c>
      <c r="F8" s="13">
        <f ca="1">IF(AND($S$3=COLUMN(F8),$T$3=ROW(F8)),"*",Sheet2!F20)</f>
        <v>0</v>
      </c>
      <c r="G8" s="13" t="str">
        <f ca="1">IF(AND($S$3=COLUMN(G8),$T$3=ROW(G8)),"*",Sheet2!G20)</f>
        <v/>
      </c>
      <c r="H8" s="13">
        <f ca="1">IF(AND($S$3=COLUMN(H8),$T$3=ROW(H8)),"*",Sheet2!H20)</f>
        <v>0</v>
      </c>
      <c r="I8" s="13" t="str">
        <f ca="1">IF(AND($S$3=COLUMN(I8),$T$3=ROW(I8)),"*",Sheet2!I20)</f>
        <v/>
      </c>
      <c r="J8" s="13" t="str">
        <f ca="1">IF(AND($S$3=COLUMN(J8),$T$3=ROW(J8)),"*",Sheet2!J20)</f>
        <v/>
      </c>
      <c r="K8" s="13" t="str">
        <f ca="1">IF(AND($S$3=COLUMN(K8),$T$3=ROW(K8)),"*",Sheet2!K20)</f>
        <v/>
      </c>
      <c r="L8" s="13">
        <f ca="1">IF(AND($S$3=COLUMN(L8),$T$3=ROW(L8)),"*",Sheet2!L20)</f>
        <v>0</v>
      </c>
      <c r="M8" s="13" t="str">
        <f ca="1">IF(AND($S$3=COLUMN(M8),$T$3=ROW(M8)),"*",Sheet2!M20)</f>
        <v/>
      </c>
      <c r="N8" s="13" t="str">
        <f ca="1">IF(AND($S$3=COLUMN(N8),$T$3=ROW(N8)),"*",Sheet2!N20)</f>
        <v/>
      </c>
      <c r="O8" s="13">
        <f ca="1">IF(AND($S$3=COLUMN(O8),$T$3=ROW(O8)),"*",Sheet2!O20)</f>
        <v>0</v>
      </c>
      <c r="P8" s="11"/>
      <c r="Q8" s="17" t="s">
        <v>21</v>
      </c>
      <c r="R8" s="11"/>
      <c r="S8" s="11"/>
      <c r="T8" s="12"/>
      <c r="U8" s="12"/>
      <c r="V8" s="12"/>
      <c r="W8" s="12"/>
      <c r="X8" s="12"/>
      <c r="Y8" s="12"/>
      <c r="Z8" s="12"/>
      <c r="AD8" s="55"/>
      <c r="AE8" s="55"/>
      <c r="AF8" s="55"/>
      <c r="AG8" s="55"/>
      <c r="AH8" s="55"/>
      <c r="AI8" s="55"/>
      <c r="AJ8" s="55"/>
      <c r="AK8" s="55"/>
      <c r="AL8" s="55"/>
      <c r="AM8" s="55"/>
    </row>
    <row r="9" spans="1:39" ht="38.4" customHeight="1" x14ac:dyDescent="0.3">
      <c r="A9" s="13">
        <f ca="1">IF(AND($S$3=COLUMN(A9),$T$3=ROW(A9)),"*",Sheet2!A21)</f>
        <v>0</v>
      </c>
      <c r="B9" s="13" t="str">
        <f ca="1">IF(AND($S$3=COLUMN(B9),$T$3=ROW(B9)),"*",Sheet2!B21)</f>
        <v/>
      </c>
      <c r="C9" s="13">
        <f ca="1">IF(AND($S$3=COLUMN(C9),$T$3=ROW(C9)),"*",Sheet2!C21)</f>
        <v>0</v>
      </c>
      <c r="D9" s="13">
        <f ca="1">IF(AND($S$3=COLUMN(D9),$T$3=ROW(D9)),"*",Sheet2!D21)</f>
        <v>0</v>
      </c>
      <c r="E9" s="13" t="str">
        <f ca="1">IF(AND($S$3=COLUMN(E9),$T$3=ROW(E9)),"*",Sheet2!E21)</f>
        <v/>
      </c>
      <c r="F9" s="13">
        <f ca="1">IF(AND($S$3=COLUMN(F9),$T$3=ROW(F9)),"*",Sheet2!F21)</f>
        <v>0</v>
      </c>
      <c r="G9" s="13" t="str">
        <f ca="1">IF(AND($S$3=COLUMN(G9),$T$3=ROW(G9)),"*",Sheet2!G21)</f>
        <v/>
      </c>
      <c r="H9" s="13">
        <f ca="1">IF(AND($S$3=COLUMN(H9),$T$3=ROW(H9)),"*",Sheet2!H21)</f>
        <v>0</v>
      </c>
      <c r="I9" s="13">
        <f ca="1">IF(AND($S$3=COLUMN(I9),$T$3=ROW(I9)),"*",Sheet2!I21)</f>
        <v>0</v>
      </c>
      <c r="J9" s="13">
        <f ca="1">IF(AND($S$3=COLUMN(J9),$T$3=ROW(J9)),"*",Sheet2!J21)</f>
        <v>0</v>
      </c>
      <c r="K9" s="13">
        <f ca="1">IF(AND($S$3=COLUMN(K9),$T$3=ROW(K9)),"*",Sheet2!K21)</f>
        <v>0</v>
      </c>
      <c r="L9" s="13">
        <f ca="1">IF(AND($S$3=COLUMN(L9),$T$3=ROW(L9)),"*",Sheet2!L21)</f>
        <v>0</v>
      </c>
      <c r="M9" s="13" t="str">
        <f ca="1">IF(AND($S$3=COLUMN(M9),$T$3=ROW(M9)),"*",Sheet2!M21)</f>
        <v/>
      </c>
      <c r="N9" s="13">
        <f ca="1">IF(AND($S$3=COLUMN(N9),$T$3=ROW(N9)),"*",Sheet2!N21)</f>
        <v>0</v>
      </c>
      <c r="O9" s="13">
        <f ca="1">IF(AND($S$3=COLUMN(O9),$T$3=ROW(O9)),"*",Sheet2!O21)</f>
        <v>0</v>
      </c>
      <c r="P9" s="11"/>
      <c r="Q9" s="11"/>
      <c r="R9" s="11"/>
      <c r="S9" s="11"/>
      <c r="T9" s="12"/>
      <c r="U9" s="12"/>
      <c r="V9" s="12"/>
      <c r="W9" s="12"/>
      <c r="X9" s="12"/>
      <c r="Y9" s="12"/>
      <c r="Z9" s="12"/>
      <c r="AD9" s="55"/>
      <c r="AE9" s="55"/>
      <c r="AF9" s="55"/>
      <c r="AG9" s="55"/>
      <c r="AH9" s="55"/>
      <c r="AI9" s="55"/>
      <c r="AJ9" s="55"/>
      <c r="AK9" s="55"/>
      <c r="AL9" s="55"/>
      <c r="AM9" s="55"/>
    </row>
    <row r="10" spans="1:39" ht="38.4" customHeight="1" x14ac:dyDescent="0.3">
      <c r="A10" s="13">
        <f ca="1">IF(AND($S$3=COLUMN(A10),$T$3=ROW(A10)),"*",Sheet2!A22)</f>
        <v>0</v>
      </c>
      <c r="B10" s="13" t="str">
        <f ca="1">IF(AND($S$3=COLUMN(B10),$T$3=ROW(B10)),"*",Sheet2!B22)</f>
        <v/>
      </c>
      <c r="C10" s="13" t="str">
        <f ca="1">IF(AND($S$3=COLUMN(C10),$T$3=ROW(C10)),"*",Sheet2!C22)</f>
        <v/>
      </c>
      <c r="D10" s="13" t="str">
        <f ca="1">IF(AND($S$3=COLUMN(D10),$T$3=ROW(D10)),"*",Sheet2!D22)</f>
        <v/>
      </c>
      <c r="E10" s="13" t="str">
        <f ca="1">IF(AND($S$3=COLUMN(E10),$T$3=ROW(E10)),"*",Sheet2!E22)</f>
        <v/>
      </c>
      <c r="F10" s="13" t="str">
        <f ca="1">IF(AND($S$3=COLUMN(F10),$T$3=ROW(F10)),"*",Sheet2!F22)</f>
        <v/>
      </c>
      <c r="G10" s="13" t="str">
        <f ca="1">IF(AND($S$3=COLUMN(G10),$T$3=ROW(G10)),"*",Sheet2!G22)</f>
        <v/>
      </c>
      <c r="H10" s="13">
        <f ca="1">IF(AND($S$3=COLUMN(H10),$T$3=ROW(H10)),"*",Sheet2!H22)</f>
        <v>0</v>
      </c>
      <c r="I10" s="13" t="str">
        <f ca="1">IF(AND($S$3=COLUMN(I10),$T$3=ROW(I10)),"*",Sheet2!I22)</f>
        <v/>
      </c>
      <c r="J10" s="13" t="str">
        <f ca="1">IF(AND($S$3=COLUMN(J10),$T$3=ROW(J10)),"*",Sheet2!J22)</f>
        <v/>
      </c>
      <c r="K10" s="13" t="str">
        <f ca="1">IF(AND($S$3=COLUMN(K10),$T$3=ROW(K10)),"*",Sheet2!K22)</f>
        <v/>
      </c>
      <c r="L10" s="13">
        <f ca="1">IF(AND($S$3=COLUMN(L10),$T$3=ROW(L10)),"*",Sheet2!L22)</f>
        <v>0</v>
      </c>
      <c r="M10" s="13" t="str">
        <f ca="1">IF(AND($S$3=COLUMN(M10),$T$3=ROW(M10)),"*",Sheet2!M22)</f>
        <v/>
      </c>
      <c r="N10" s="13" t="str">
        <f ca="1">IF(AND($S$3=COLUMN(N10),$T$3=ROW(N10)),"*",Sheet2!N22)</f>
        <v/>
      </c>
      <c r="O10" s="13" t="str">
        <f ca="1">IF(AND($S$3=COLUMN(O10),$T$3=ROW(O10)),"*",Sheet2!O22)</f>
        <v/>
      </c>
      <c r="P10" s="11"/>
      <c r="Q10" s="11"/>
      <c r="R10" s="11"/>
      <c r="S10" s="11"/>
      <c r="T10" s="12"/>
      <c r="U10" s="12"/>
      <c r="V10" s="12"/>
      <c r="W10" s="12"/>
      <c r="X10" s="12"/>
      <c r="Y10" s="12"/>
      <c r="Z10" s="12"/>
      <c r="AD10" s="55"/>
      <c r="AE10" s="55"/>
      <c r="AF10" s="55"/>
      <c r="AG10" s="55"/>
      <c r="AH10" s="55"/>
      <c r="AI10" s="55"/>
      <c r="AJ10" s="55"/>
      <c r="AK10" s="55"/>
      <c r="AL10" s="55"/>
      <c r="AM10" s="55"/>
    </row>
    <row r="11" spans="1:39" ht="38.4" customHeight="1" x14ac:dyDescent="0.3">
      <c r="A11" s="13">
        <f ca="1">IF(AND($S$3=COLUMN(A11),$T$3=ROW(A11)),"*",Sheet2!A23)</f>
        <v>0</v>
      </c>
      <c r="B11" s="13" t="str">
        <f ca="1">IF(AND($S$3=COLUMN(B11),$T$3=ROW(B11)),"*",Sheet2!B23)</f>
        <v/>
      </c>
      <c r="C11" s="13">
        <f ca="1">IF(AND($S$3=COLUMN(C11),$T$3=ROW(C11)),"*",Sheet2!C23)</f>
        <v>0</v>
      </c>
      <c r="D11" s="13" t="str">
        <f ca="1">IF(AND($S$3=COLUMN(D11),$T$3=ROW(D11)),"*",Sheet2!D23)</f>
        <v/>
      </c>
      <c r="E11" s="13">
        <f ca="1">IF(AND($S$3=COLUMN(E11),$T$3=ROW(E11)),"*",Sheet2!E23)</f>
        <v>0</v>
      </c>
      <c r="F11" s="13" t="str">
        <f ca="1">IF(AND($S$3=COLUMN(F11),$T$3=ROW(F11)),"*",Sheet2!F23)</f>
        <v/>
      </c>
      <c r="G11" s="13">
        <f ca="1">IF(AND($S$3=COLUMN(G11),$T$3=ROW(G11)),"*",Sheet2!G23)</f>
        <v>0</v>
      </c>
      <c r="H11" s="13">
        <f ca="1">IF(AND($S$3=COLUMN(H11),$T$3=ROW(H11)),"*",Sheet2!H23)</f>
        <v>0</v>
      </c>
      <c r="I11" s="13" t="str">
        <f ca="1">IF(AND($S$3=COLUMN(I11),$T$3=ROW(I11)),"*",Sheet2!I23)</f>
        <v/>
      </c>
      <c r="J11" s="13">
        <f ca="1">IF(AND($S$3=COLUMN(J11),$T$3=ROW(J11)),"*",Sheet2!J23)</f>
        <v>0</v>
      </c>
      <c r="K11" s="13" t="str">
        <f ca="1">IF(AND($S$3=COLUMN(K11),$T$3=ROW(K11)),"*",Sheet2!K23)</f>
        <v/>
      </c>
      <c r="L11" s="13">
        <f ca="1">IF(AND($S$3=COLUMN(L11),$T$3=ROW(L11)),"*",Sheet2!L23)</f>
        <v>0</v>
      </c>
      <c r="M11" s="13">
        <f ca="1">IF(AND($S$3=COLUMN(M11),$T$3=ROW(M11)),"*",Sheet2!M23)</f>
        <v>0</v>
      </c>
      <c r="N11" s="13" t="str">
        <f ca="1">IF(AND($S$3=COLUMN(N11),$T$3=ROW(N11)),"*",Sheet2!N23)</f>
        <v/>
      </c>
      <c r="O11" s="13">
        <f ca="1">IF(AND($S$3=COLUMN(O11),$T$3=ROW(O11)),"*",Sheet2!O23)</f>
        <v>0</v>
      </c>
      <c r="P11" s="11"/>
      <c r="Q11" s="11"/>
      <c r="R11" s="11"/>
      <c r="S11" s="11"/>
      <c r="T11" s="12"/>
      <c r="U11" s="12"/>
      <c r="V11" s="12"/>
      <c r="W11" s="12"/>
      <c r="X11" s="12"/>
      <c r="Y11" s="12"/>
      <c r="Z11" s="12"/>
      <c r="AD11" s="55"/>
      <c r="AE11" s="55"/>
      <c r="AF11" s="55"/>
      <c r="AG11" s="55"/>
      <c r="AH11" s="55"/>
      <c r="AI11" s="55"/>
      <c r="AJ11" s="55"/>
      <c r="AK11" s="55"/>
      <c r="AL11" s="55"/>
      <c r="AM11" s="55"/>
    </row>
    <row r="12" spans="1:39" ht="38.4" customHeight="1" x14ac:dyDescent="0.3">
      <c r="A12" s="13">
        <f ca="1">IF(AND($S$3=COLUMN(A12),$T$3=ROW(A12)),"*",Sheet2!A24)</f>
        <v>0</v>
      </c>
      <c r="B12" s="13" t="str">
        <f ca="1">IF(AND($S$3=COLUMN(B12),$T$3=ROW(B12)),"*",Sheet2!B24)</f>
        <v/>
      </c>
      <c r="C12" s="13">
        <f ca="1">IF(AND($S$3=COLUMN(C12),$T$3=ROW(C12)),"*",Sheet2!C24)</f>
        <v>0</v>
      </c>
      <c r="D12" s="13">
        <f ca="1">IF(AND($S$3=COLUMN(D12),$T$3=ROW(D12)),"*",Sheet2!D24)</f>
        <v>0</v>
      </c>
      <c r="E12" s="13">
        <f ca="1">IF(AND($S$3=COLUMN(E12),$T$3=ROW(E12)),"*",Sheet2!E24)</f>
        <v>0</v>
      </c>
      <c r="F12" s="13" t="str">
        <f ca="1">IF(AND($S$3=COLUMN(F12),$T$3=ROW(F12)),"*",Sheet2!F24)</f>
        <v/>
      </c>
      <c r="G12" s="13">
        <f ca="1">IF(AND($S$3=COLUMN(G12),$T$3=ROW(G12)),"*",Sheet2!G24)</f>
        <v>0</v>
      </c>
      <c r="H12" s="13">
        <f ca="1">IF(AND($S$3=COLUMN(H12),$T$3=ROW(H12)),"*",Sheet2!H24)</f>
        <v>0</v>
      </c>
      <c r="I12" s="13" t="str">
        <f ca="1">IF(AND($S$3=COLUMN(I12),$T$3=ROW(I12)),"*",Sheet2!I24)</f>
        <v/>
      </c>
      <c r="J12" s="13">
        <f ca="1">IF(AND($S$3=COLUMN(J12),$T$3=ROW(J12)),"*",Sheet2!J24)</f>
        <v>0</v>
      </c>
      <c r="K12" s="13" t="str">
        <f ca="1">IF(AND($S$3=COLUMN(K12),$T$3=ROW(K12)),"*",Sheet2!K24)</f>
        <v/>
      </c>
      <c r="L12" s="13">
        <f ca="1">IF(AND($S$3=COLUMN(L12),$T$3=ROW(L12)),"*",Sheet2!L24)</f>
        <v>0</v>
      </c>
      <c r="M12" s="13">
        <f ca="1">IF(AND($S$3=COLUMN(M12),$T$3=ROW(M12)),"*",Sheet2!M24)</f>
        <v>0</v>
      </c>
      <c r="N12" s="13" t="str">
        <f ca="1">IF(AND($S$3=COLUMN(N12),$T$3=ROW(N12)),"*",Sheet2!N24)</f>
        <v/>
      </c>
      <c r="O12" s="13">
        <f ca="1">IF(AND($S$3=COLUMN(O12),$T$3=ROW(O12)),"*",Sheet2!O24)</f>
        <v>0</v>
      </c>
      <c r="P12" s="11"/>
      <c r="Q12" s="11"/>
      <c r="R12" s="11"/>
      <c r="S12" s="11"/>
      <c r="T12" s="12"/>
      <c r="U12" s="12"/>
      <c r="V12" s="12"/>
      <c r="W12" s="12"/>
      <c r="X12" s="12"/>
      <c r="Y12" s="12"/>
      <c r="Z12" s="12"/>
      <c r="AD12" s="55"/>
      <c r="AE12" s="55"/>
      <c r="AF12" s="55"/>
      <c r="AG12" s="55"/>
      <c r="AH12" s="55"/>
      <c r="AI12" s="55"/>
      <c r="AJ12" s="55"/>
      <c r="AK12" s="55"/>
      <c r="AL12" s="55"/>
      <c r="AM12" s="55"/>
    </row>
  </sheetData>
  <mergeCells count="1">
    <mergeCell ref="Q6:AA6"/>
  </mergeCells>
  <conditionalFormatting sqref="A1:O12">
    <cfRule type="containsText" dxfId="1" priority="1" operator="containsText" text="0">
      <formula>NOT(ISERROR(SEARCH("0",A1)))</formula>
    </cfRule>
    <cfRule type="containsText" dxfId="0" priority="2" operator="containsText" text="*">
      <formula>NOT(ISERROR(SEARCH("*",A1)))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L72"/>
  <sheetViews>
    <sheetView topLeftCell="P33" zoomScaleNormal="100" workbookViewId="0">
      <selection activeCell="BN59" sqref="BN59"/>
    </sheetView>
  </sheetViews>
  <sheetFormatPr defaultColWidth="3.109375" defaultRowHeight="14.4" x14ac:dyDescent="0.3"/>
  <cols>
    <col min="1" max="1" width="7.5546875" style="6" bestFit="1" customWidth="1"/>
    <col min="2" max="13" width="3.109375" style="6" customWidth="1"/>
    <col min="14" max="14" width="7.44140625" style="6" bestFit="1" customWidth="1"/>
    <col min="15" max="15" width="7.5546875" style="6" bestFit="1" customWidth="1"/>
    <col min="16" max="16" width="3.109375" style="6" customWidth="1"/>
    <col min="17" max="16384" width="3.109375" style="6"/>
  </cols>
  <sheetData>
    <row r="1" spans="1:75" ht="15" thickBot="1" x14ac:dyDescent="0.35">
      <c r="A1" s="6" t="str">
        <f>ADDRESS(Sheet1!$T$2*13+ROW(A1)-Sheet1!$T$2,Sheet1!$S$2*15+1+COLUMN(A1)-1)</f>
        <v>$P$13</v>
      </c>
      <c r="B1" s="6" t="str">
        <f>ADDRESS(Sheet1!$T$2*13+ROW(B1)-Sheet1!$T$2,Sheet1!$S$2*15+1+COLUMN(B1)-1)</f>
        <v>$Q$13</v>
      </c>
      <c r="C1" s="6" t="str">
        <f>ADDRESS(Sheet1!$T$2*13+ROW(C1)-Sheet1!$T$2,Sheet1!$S$2*15+1+COLUMN(C1)-1)</f>
        <v>$R$13</v>
      </c>
      <c r="D1" s="6" t="str">
        <f>ADDRESS(Sheet1!$T$2*13+ROW(D1)-Sheet1!$T$2,Sheet1!$S$2*15+1+COLUMN(D1)-1)</f>
        <v>$S$13</v>
      </c>
      <c r="E1" s="6" t="str">
        <f>ADDRESS(Sheet1!$T$2*13+ROW(E1)-Sheet1!$T$2,Sheet1!$S$2*15+1+COLUMN(E1)-1)</f>
        <v>$T$13</v>
      </c>
      <c r="F1" s="6" t="str">
        <f>ADDRESS(Sheet1!$T$2*13+ROW(F1)-Sheet1!$T$2,Sheet1!$S$2*15+1+COLUMN(F1)-1)</f>
        <v>$U$13</v>
      </c>
      <c r="G1" s="6" t="str">
        <f>ADDRESS(Sheet1!$T$2*13+ROW(G1)-Sheet1!$T$2,Sheet1!$S$2*15+1+COLUMN(G1)-1)</f>
        <v>$V$13</v>
      </c>
      <c r="H1" s="6" t="str">
        <f>ADDRESS(Sheet1!$T$2*13+ROW(H1)-Sheet1!$T$2,Sheet1!$S$2*15+1+COLUMN(H1)-1)</f>
        <v>$W$13</v>
      </c>
      <c r="I1" s="6" t="str">
        <f>ADDRESS(Sheet1!$T$2*13+ROW(I1)-Sheet1!$T$2,Sheet1!$S$2*15+1+COLUMN(I1)-1)</f>
        <v>$X$13</v>
      </c>
      <c r="J1" s="6" t="str">
        <f>ADDRESS(Sheet1!$T$2*13+ROW(J1)-Sheet1!$T$2,Sheet1!$S$2*15+1+COLUMN(J1)-1)</f>
        <v>$Y$13</v>
      </c>
      <c r="K1" s="6" t="str">
        <f>ADDRESS(Sheet1!$T$2*13+ROW(K1)-Sheet1!$T$2,Sheet1!$S$2*15+1+COLUMN(K1)-1)</f>
        <v>$Z$13</v>
      </c>
      <c r="L1" s="6" t="str">
        <f>ADDRESS(Sheet1!$T$2*13+ROW(L1)-Sheet1!$T$2,Sheet1!$S$2*15+1+COLUMN(L1)-1)</f>
        <v>$AA$13</v>
      </c>
      <c r="M1" s="6" t="str">
        <f>ADDRESS(Sheet1!$T$2*13+ROW(M1)-Sheet1!$T$2,Sheet1!$S$2*15+1+COLUMN(M1)-1)</f>
        <v>$AB$13</v>
      </c>
      <c r="N1" s="6" t="str">
        <f>ADDRESS(Sheet1!$T$2*13+ROW(N1)-Sheet1!$T$2,Sheet1!$S$2*15+1+COLUMN(N1)-1)</f>
        <v>$AC$13</v>
      </c>
      <c r="O1" s="6" t="str">
        <f>ADDRESS(Sheet1!$T$2*13+ROW(O1)-Sheet1!$T$2,Sheet1!$S$2*15+1+COLUMN(O1)-1)</f>
        <v>$AD$13</v>
      </c>
      <c r="P1" s="2">
        <f t="shared" ref="P1:P12" ca="1" si="0">INDIRECT(A1)</f>
        <v>0</v>
      </c>
      <c r="Q1" s="3">
        <f t="shared" ref="Q1:Q12" ca="1" si="1">INDIRECT(B1)</f>
        <v>0</v>
      </c>
      <c r="R1" s="3">
        <f t="shared" ref="R1:R12" ca="1" si="2">INDIRECT(C1)</f>
        <v>0</v>
      </c>
      <c r="S1" s="3">
        <f t="shared" ref="S1:S12" ca="1" si="3">INDIRECT(D1)</f>
        <v>0</v>
      </c>
      <c r="T1" s="3">
        <f t="shared" ref="T1:T12" ca="1" si="4">INDIRECT(E1)</f>
        <v>0</v>
      </c>
      <c r="U1" s="3">
        <f t="shared" ref="U1:U12" ca="1" si="5">INDIRECT(F1)</f>
        <v>0</v>
      </c>
      <c r="V1" s="3">
        <f t="shared" ref="V1:V12" ca="1" si="6">INDIRECT(G1)</f>
        <v>0</v>
      </c>
      <c r="W1" s="3">
        <f t="shared" ref="W1:W12" ca="1" si="7">INDIRECT(H1)</f>
        <v>0</v>
      </c>
      <c r="X1" s="3">
        <f t="shared" ref="X1:X12" ca="1" si="8">INDIRECT(I1)</f>
        <v>0</v>
      </c>
      <c r="Y1" s="3">
        <f t="shared" ref="Y1:Y12" ca="1" si="9">INDIRECT(J1)</f>
        <v>0</v>
      </c>
      <c r="Z1" s="3">
        <f t="shared" ref="Z1:Z12" ca="1" si="10">INDIRECT(K1)</f>
        <v>0</v>
      </c>
      <c r="AA1" s="3">
        <f t="shared" ref="AA1:AA12" ca="1" si="11">INDIRECT(L1)</f>
        <v>0</v>
      </c>
      <c r="AB1" s="3">
        <f t="shared" ref="AB1:AB12" ca="1" si="12">INDIRECT(M1)</f>
        <v>0</v>
      </c>
      <c r="AC1" s="3">
        <f t="shared" ref="AC1:AC12" ca="1" si="13">INDIRECT(N1)</f>
        <v>0</v>
      </c>
      <c r="AD1" s="4">
        <f t="shared" ref="AD1:AD12" ca="1" si="14">INDIRECT(O1)</f>
        <v>0</v>
      </c>
      <c r="AG1" s="41" t="s">
        <v>16</v>
      </c>
    </row>
    <row r="2" spans="1:75" ht="15" customHeight="1" thickBot="1" x14ac:dyDescent="0.35">
      <c r="A2" s="6" t="str">
        <f>ADDRESS(Sheet1!$T$2*13+ROW(A2)-Sheet1!$T$2,Sheet1!$S$2*15+1+COLUMN(A2)-1)</f>
        <v>$P$14</v>
      </c>
      <c r="B2" s="6" t="str">
        <f>ADDRESS(Sheet1!$T$2*13+ROW(B2)-Sheet1!$T$2,Sheet1!$S$2*15+1+COLUMN(B2)-1)</f>
        <v>$Q$14</v>
      </c>
      <c r="C2" s="6" t="str">
        <f>ADDRESS(Sheet1!$T$2*13+ROW(C2)-Sheet1!$T$2,Sheet1!$S$2*15+1+COLUMN(C2)-1)</f>
        <v>$R$14</v>
      </c>
      <c r="D2" s="6" t="str">
        <f>ADDRESS(Sheet1!$T$2*13+ROW(D2)-Sheet1!$T$2,Sheet1!$S$2*15+1+COLUMN(D2)-1)</f>
        <v>$S$14</v>
      </c>
      <c r="E2" s="6" t="str">
        <f>ADDRESS(Sheet1!$T$2*13+ROW(E2)-Sheet1!$T$2,Sheet1!$S$2*15+1+COLUMN(E2)-1)</f>
        <v>$T$14</v>
      </c>
      <c r="F2" s="6" t="str">
        <f>ADDRESS(Sheet1!$T$2*13+ROW(F2)-Sheet1!$T$2,Sheet1!$S$2*15+1+COLUMN(F2)-1)</f>
        <v>$U$14</v>
      </c>
      <c r="G2" s="6" t="str">
        <f>ADDRESS(Sheet1!$T$2*13+ROW(G2)-Sheet1!$T$2,Sheet1!$S$2*15+1+COLUMN(G2)-1)</f>
        <v>$V$14</v>
      </c>
      <c r="H2" s="6" t="str">
        <f>ADDRESS(Sheet1!$T$2*13+ROW(H2)-Sheet1!$T$2,Sheet1!$S$2*15+1+COLUMN(H2)-1)</f>
        <v>$W$14</v>
      </c>
      <c r="I2" s="6" t="str">
        <f>ADDRESS(Sheet1!$T$2*13+ROW(I2)-Sheet1!$T$2,Sheet1!$S$2*15+1+COLUMN(I2)-1)</f>
        <v>$X$14</v>
      </c>
      <c r="J2" s="6" t="str">
        <f>ADDRESS(Sheet1!$T$2*13+ROW(J2)-Sheet1!$T$2,Sheet1!$S$2*15+1+COLUMN(J2)-1)</f>
        <v>$Y$14</v>
      </c>
      <c r="K2" s="6" t="str">
        <f>ADDRESS(Sheet1!$T$2*13+ROW(K2)-Sheet1!$T$2,Sheet1!$S$2*15+1+COLUMN(K2)-1)</f>
        <v>$Z$14</v>
      </c>
      <c r="L2" s="6" t="str">
        <f>ADDRESS(Sheet1!$T$2*13+ROW(L2)-Sheet1!$T$2,Sheet1!$S$2*15+1+COLUMN(L2)-1)</f>
        <v>$AA$14</v>
      </c>
      <c r="M2" s="6" t="str">
        <f>ADDRESS(Sheet1!$T$2*13+ROW(M2)-Sheet1!$T$2,Sheet1!$S$2*15+1+COLUMN(M2)-1)</f>
        <v>$AB$14</v>
      </c>
      <c r="N2" s="6" t="str">
        <f>ADDRESS(Sheet1!$T$2*13+ROW(N2)-Sheet1!$T$2,Sheet1!$S$2*15+1+COLUMN(N2)-1)</f>
        <v>$AC$14</v>
      </c>
      <c r="O2" s="6" t="str">
        <f>ADDRESS(Sheet1!$T$2*13+ROW(O2)-Sheet1!$T$2,Sheet1!$S$2*15+1+COLUMN(O2)-1)</f>
        <v>$AD$14</v>
      </c>
      <c r="P2" s="5">
        <f t="shared" ca="1" si="0"/>
        <v>0</v>
      </c>
      <c r="Q2" s="6">
        <f t="shared" ca="1" si="1"/>
        <v>1</v>
      </c>
      <c r="R2" s="3">
        <f t="shared" ca="1" si="2"/>
        <v>1</v>
      </c>
      <c r="S2" s="6">
        <f t="shared" ca="1" si="3"/>
        <v>0</v>
      </c>
      <c r="T2" s="6">
        <f t="shared" ca="1" si="4"/>
        <v>1</v>
      </c>
      <c r="U2" s="6">
        <f t="shared" ca="1" si="5"/>
        <v>1</v>
      </c>
      <c r="V2" s="6">
        <f t="shared" ca="1" si="6"/>
        <v>1</v>
      </c>
      <c r="W2" s="6">
        <f t="shared" ca="1" si="7"/>
        <v>1</v>
      </c>
      <c r="X2" s="6">
        <f t="shared" ca="1" si="8"/>
        <v>1</v>
      </c>
      <c r="Y2" s="6">
        <f t="shared" ca="1" si="9"/>
        <v>1</v>
      </c>
      <c r="Z2" s="6">
        <f t="shared" ca="1" si="10"/>
        <v>1</v>
      </c>
      <c r="AA2" s="6">
        <f t="shared" ca="1" si="11"/>
        <v>0</v>
      </c>
      <c r="AB2" s="6">
        <f t="shared" ca="1" si="12"/>
        <v>1</v>
      </c>
      <c r="AC2" s="6">
        <f t="shared" ca="1" si="13"/>
        <v>1</v>
      </c>
      <c r="AD2" s="7">
        <f t="shared" ca="1" si="14"/>
        <v>1</v>
      </c>
      <c r="AG2" s="25" t="s">
        <v>17</v>
      </c>
      <c r="AH2" s="26"/>
      <c r="AI2" s="26"/>
      <c r="AJ2" s="27"/>
      <c r="AK2" s="25" t="s">
        <v>18</v>
      </c>
      <c r="AL2" s="26"/>
      <c r="AM2" s="26"/>
      <c r="AN2" s="27"/>
    </row>
    <row r="3" spans="1:75" x14ac:dyDescent="0.3">
      <c r="A3" s="6" t="str">
        <f>ADDRESS(Sheet1!$T$2*13+ROW(A3)-Sheet1!$T$2,Sheet1!$S$2*15+1+COLUMN(A3)-1)</f>
        <v>$P$15</v>
      </c>
      <c r="B3" s="6" t="str">
        <f>ADDRESS(Sheet1!$T$2*13+ROW(B3)-Sheet1!$T$2,Sheet1!$S$2*15+1+COLUMN(B3)-1)</f>
        <v>$Q$15</v>
      </c>
      <c r="C3" s="6" t="str">
        <f>ADDRESS(Sheet1!$T$2*13+ROW(C3)-Sheet1!$T$2,Sheet1!$S$2*15+1+COLUMN(C3)-1)</f>
        <v>$R$15</v>
      </c>
      <c r="D3" s="6" t="str">
        <f>ADDRESS(Sheet1!$T$2*13+ROW(D3)-Sheet1!$T$2,Sheet1!$S$2*15+1+COLUMN(D3)-1)</f>
        <v>$S$15</v>
      </c>
      <c r="E3" s="6" t="str">
        <f>ADDRESS(Sheet1!$T$2*13+ROW(E3)-Sheet1!$T$2,Sheet1!$S$2*15+1+COLUMN(E3)-1)</f>
        <v>$T$15</v>
      </c>
      <c r="F3" s="6" t="str">
        <f>ADDRESS(Sheet1!$T$2*13+ROW(F3)-Sheet1!$T$2,Sheet1!$S$2*15+1+COLUMN(F3)-1)</f>
        <v>$U$15</v>
      </c>
      <c r="G3" s="6" t="str">
        <f>ADDRESS(Sheet1!$T$2*13+ROW(G3)-Sheet1!$T$2,Sheet1!$S$2*15+1+COLUMN(G3)-1)</f>
        <v>$V$15</v>
      </c>
      <c r="H3" s="6" t="str">
        <f>ADDRESS(Sheet1!$T$2*13+ROW(H3)-Sheet1!$T$2,Sheet1!$S$2*15+1+COLUMN(H3)-1)</f>
        <v>$W$15</v>
      </c>
      <c r="I3" s="6" t="str">
        <f>ADDRESS(Sheet1!$T$2*13+ROW(I3)-Sheet1!$T$2,Sheet1!$S$2*15+1+COLUMN(I3)-1)</f>
        <v>$X$15</v>
      </c>
      <c r="J3" s="6" t="str">
        <f>ADDRESS(Sheet1!$T$2*13+ROW(J3)-Sheet1!$T$2,Sheet1!$S$2*15+1+COLUMN(J3)-1)</f>
        <v>$Y$15</v>
      </c>
      <c r="K3" s="6" t="str">
        <f>ADDRESS(Sheet1!$T$2*13+ROW(K3)-Sheet1!$T$2,Sheet1!$S$2*15+1+COLUMN(K3)-1)</f>
        <v>$Z$15</v>
      </c>
      <c r="L3" s="6" t="str">
        <f>ADDRESS(Sheet1!$T$2*13+ROW(L3)-Sheet1!$T$2,Sheet1!$S$2*15+1+COLUMN(L3)-1)</f>
        <v>$AA$15</v>
      </c>
      <c r="M3" s="6" t="str">
        <f>ADDRESS(Sheet1!$T$2*13+ROW(M3)-Sheet1!$T$2,Sheet1!$S$2*15+1+COLUMN(M3)-1)</f>
        <v>$AB$15</v>
      </c>
      <c r="N3" s="6" t="str">
        <f>ADDRESS(Sheet1!$T$2*13+ROW(N3)-Sheet1!$T$2,Sheet1!$S$2*15+1+COLUMN(N3)-1)</f>
        <v>$AC$15</v>
      </c>
      <c r="O3" s="6" t="str">
        <f>ADDRESS(Sheet1!$T$2*13+ROW(O3)-Sheet1!$T$2,Sheet1!$S$2*15+1+COLUMN(O3)-1)</f>
        <v>$AD$15</v>
      </c>
      <c r="P3" s="5">
        <f t="shared" ca="1" si="0"/>
        <v>0</v>
      </c>
      <c r="Q3" s="6">
        <f t="shared" ca="1" si="1"/>
        <v>0</v>
      </c>
      <c r="R3" s="3">
        <f t="shared" ca="1" si="2"/>
        <v>1</v>
      </c>
      <c r="S3" s="6">
        <f t="shared" ca="1" si="3"/>
        <v>0</v>
      </c>
      <c r="T3" s="6">
        <f t="shared" ca="1" si="4"/>
        <v>1</v>
      </c>
      <c r="U3" s="6">
        <f t="shared" ca="1" si="5"/>
        <v>0</v>
      </c>
      <c r="V3" s="6">
        <f t="shared" ca="1" si="6"/>
        <v>0</v>
      </c>
      <c r="W3" s="6">
        <f t="shared" ca="1" si="7"/>
        <v>1</v>
      </c>
      <c r="X3" s="6">
        <f t="shared" ca="1" si="8"/>
        <v>0</v>
      </c>
      <c r="Y3" s="6">
        <f t="shared" ca="1" si="9"/>
        <v>0</v>
      </c>
      <c r="Z3" s="6">
        <f t="shared" ca="1" si="10"/>
        <v>1</v>
      </c>
      <c r="AA3" s="6">
        <f t="shared" ca="1" si="11"/>
        <v>0</v>
      </c>
      <c r="AB3" s="6">
        <f t="shared" ca="1" si="12"/>
        <v>1</v>
      </c>
      <c r="AC3" s="6">
        <f t="shared" ca="1" si="13"/>
        <v>0</v>
      </c>
      <c r="AD3" s="7">
        <f t="shared" ca="1" si="14"/>
        <v>0</v>
      </c>
      <c r="AG3" s="28"/>
      <c r="AH3" s="23"/>
      <c r="AI3" s="23"/>
      <c r="AJ3" s="29"/>
      <c r="AK3" s="28"/>
      <c r="AL3" s="23"/>
      <c r="AM3" s="23"/>
      <c r="AN3" s="29"/>
    </row>
    <row r="4" spans="1:75" x14ac:dyDescent="0.3">
      <c r="A4" s="6" t="str">
        <f>ADDRESS(Sheet1!$T$2*13+ROW(A4)-Sheet1!$T$2,Sheet1!$S$2*15+1+COLUMN(A4)-1)</f>
        <v>$P$16</v>
      </c>
      <c r="B4" s="6" t="str">
        <f>ADDRESS(Sheet1!$T$2*13+ROW(B4)-Sheet1!$T$2,Sheet1!$S$2*15+1+COLUMN(B4)-1)</f>
        <v>$Q$16</v>
      </c>
      <c r="C4" s="6" t="str">
        <f>ADDRESS(Sheet1!$T$2*13+ROW(C4)-Sheet1!$T$2,Sheet1!$S$2*15+1+COLUMN(C4)-1)</f>
        <v>$R$16</v>
      </c>
      <c r="D4" s="6" t="str">
        <f>ADDRESS(Sheet1!$T$2*13+ROW(D4)-Sheet1!$T$2,Sheet1!$S$2*15+1+COLUMN(D4)-1)</f>
        <v>$S$16</v>
      </c>
      <c r="E4" s="6" t="str">
        <f>ADDRESS(Sheet1!$T$2*13+ROW(E4)-Sheet1!$T$2,Sheet1!$S$2*15+1+COLUMN(E4)-1)</f>
        <v>$T$16</v>
      </c>
      <c r="F4" s="6" t="str">
        <f>ADDRESS(Sheet1!$T$2*13+ROW(F4)-Sheet1!$T$2,Sheet1!$S$2*15+1+COLUMN(F4)-1)</f>
        <v>$U$16</v>
      </c>
      <c r="G4" s="6" t="str">
        <f>ADDRESS(Sheet1!$T$2*13+ROW(G4)-Sheet1!$T$2,Sheet1!$S$2*15+1+COLUMN(G4)-1)</f>
        <v>$V$16</v>
      </c>
      <c r="H4" s="6" t="str">
        <f>ADDRESS(Sheet1!$T$2*13+ROW(H4)-Sheet1!$T$2,Sheet1!$S$2*15+1+COLUMN(H4)-1)</f>
        <v>$W$16</v>
      </c>
      <c r="I4" s="6" t="str">
        <f>ADDRESS(Sheet1!$T$2*13+ROW(I4)-Sheet1!$T$2,Sheet1!$S$2*15+1+COLUMN(I4)-1)</f>
        <v>$X$16</v>
      </c>
      <c r="J4" s="6" t="str">
        <f>ADDRESS(Sheet1!$T$2*13+ROW(J4)-Sheet1!$T$2,Sheet1!$S$2*15+1+COLUMN(J4)-1)</f>
        <v>$Y$16</v>
      </c>
      <c r="K4" s="6" t="str">
        <f>ADDRESS(Sheet1!$T$2*13+ROW(K4)-Sheet1!$T$2,Sheet1!$S$2*15+1+COLUMN(K4)-1)</f>
        <v>$Z$16</v>
      </c>
      <c r="L4" s="6" t="str">
        <f>ADDRESS(Sheet1!$T$2*13+ROW(L4)-Sheet1!$T$2,Sheet1!$S$2*15+1+COLUMN(L4)-1)</f>
        <v>$AA$16</v>
      </c>
      <c r="M4" s="6" t="str">
        <f>ADDRESS(Sheet1!$T$2*13+ROW(M4)-Sheet1!$T$2,Sheet1!$S$2*15+1+COLUMN(M4)-1)</f>
        <v>$AB$16</v>
      </c>
      <c r="N4" s="6" t="str">
        <f>ADDRESS(Sheet1!$T$2*13+ROW(N4)-Sheet1!$T$2,Sheet1!$S$2*15+1+COLUMN(N4)-1)</f>
        <v>$AC$16</v>
      </c>
      <c r="O4" s="6" t="str">
        <f>ADDRESS(Sheet1!$T$2*13+ROW(O4)-Sheet1!$T$2,Sheet1!$S$2*15+1+COLUMN(O4)-1)</f>
        <v>$AD$16</v>
      </c>
      <c r="P4" s="5">
        <f t="shared" ca="1" si="0"/>
        <v>0</v>
      </c>
      <c r="Q4" s="6">
        <f t="shared" ca="1" si="1"/>
        <v>1</v>
      </c>
      <c r="R4" s="6">
        <f t="shared" ca="1" si="2"/>
        <v>1</v>
      </c>
      <c r="S4" s="6">
        <f t="shared" ca="1" si="3"/>
        <v>0</v>
      </c>
      <c r="T4" s="6">
        <f t="shared" ca="1" si="4"/>
        <v>1</v>
      </c>
      <c r="U4" s="6">
        <f t="shared" ca="1" si="5"/>
        <v>1</v>
      </c>
      <c r="V4" s="6">
        <f t="shared" ca="1" si="6"/>
        <v>0</v>
      </c>
      <c r="W4" s="6">
        <f t="shared" ca="1" si="7"/>
        <v>1</v>
      </c>
      <c r="X4" s="6">
        <f t="shared" ca="1" si="8"/>
        <v>0</v>
      </c>
      <c r="Y4" s="6">
        <f t="shared" ca="1" si="9"/>
        <v>1</v>
      </c>
      <c r="Z4" s="6">
        <f t="shared" ca="1" si="10"/>
        <v>1</v>
      </c>
      <c r="AA4" s="6">
        <f t="shared" ca="1" si="11"/>
        <v>1</v>
      </c>
      <c r="AB4" s="6">
        <f t="shared" ca="1" si="12"/>
        <v>1</v>
      </c>
      <c r="AC4" s="6">
        <f t="shared" ca="1" si="13"/>
        <v>0</v>
      </c>
      <c r="AD4" s="7">
        <f t="shared" ca="1" si="14"/>
        <v>0</v>
      </c>
      <c r="AG4" s="28"/>
      <c r="AH4" s="23"/>
      <c r="AI4" s="23"/>
      <c r="AJ4" s="29"/>
      <c r="AK4" s="28"/>
      <c r="AL4" s="23"/>
      <c r="AM4" s="23"/>
      <c r="AN4" s="29"/>
    </row>
    <row r="5" spans="1:75" ht="14.4" customHeight="1" x14ac:dyDescent="0.3">
      <c r="A5" s="6" t="str">
        <f>ADDRESS(Sheet1!$T$2*13+ROW(A5)-Sheet1!$T$2,Sheet1!$S$2*15+1+COLUMN(A5)-1)</f>
        <v>$P$17</v>
      </c>
      <c r="B5" s="6" t="str">
        <f>ADDRESS(Sheet1!$T$2*13+ROW(B5)-Sheet1!$T$2,Sheet1!$S$2*15+1+COLUMN(B5)-1)</f>
        <v>$Q$17</v>
      </c>
      <c r="C5" s="6" t="str">
        <f>ADDRESS(Sheet1!$T$2*13+ROW(C5)-Sheet1!$T$2,Sheet1!$S$2*15+1+COLUMN(C5)-1)</f>
        <v>$R$17</v>
      </c>
      <c r="D5" s="6" t="str">
        <f>ADDRESS(Sheet1!$T$2*13+ROW(D5)-Sheet1!$T$2,Sheet1!$S$2*15+1+COLUMN(D5)-1)</f>
        <v>$S$17</v>
      </c>
      <c r="E5" s="6" t="str">
        <f>ADDRESS(Sheet1!$T$2*13+ROW(E5)-Sheet1!$T$2,Sheet1!$S$2*15+1+COLUMN(E5)-1)</f>
        <v>$T$17</v>
      </c>
      <c r="F5" s="6" t="str">
        <f>ADDRESS(Sheet1!$T$2*13+ROW(F5)-Sheet1!$T$2,Sheet1!$S$2*15+1+COLUMN(F5)-1)</f>
        <v>$U$17</v>
      </c>
      <c r="G5" s="6" t="str">
        <f>ADDRESS(Sheet1!$T$2*13+ROW(G5)-Sheet1!$T$2,Sheet1!$S$2*15+1+COLUMN(G5)-1)</f>
        <v>$V$17</v>
      </c>
      <c r="H5" s="6" t="str">
        <f>ADDRESS(Sheet1!$T$2*13+ROW(H5)-Sheet1!$T$2,Sheet1!$S$2*15+1+COLUMN(H5)-1)</f>
        <v>$W$17</v>
      </c>
      <c r="I5" s="6" t="str">
        <f>ADDRESS(Sheet1!$T$2*13+ROW(I5)-Sheet1!$T$2,Sheet1!$S$2*15+1+COLUMN(I5)-1)</f>
        <v>$X$17</v>
      </c>
      <c r="J5" s="6" t="str">
        <f>ADDRESS(Sheet1!$T$2*13+ROW(J5)-Sheet1!$T$2,Sheet1!$S$2*15+1+COLUMN(J5)-1)</f>
        <v>$Y$17</v>
      </c>
      <c r="K5" s="6" t="str">
        <f>ADDRESS(Sheet1!$T$2*13+ROW(K5)-Sheet1!$T$2,Sheet1!$S$2*15+1+COLUMN(K5)-1)</f>
        <v>$Z$17</v>
      </c>
      <c r="L5" s="6" t="str">
        <f>ADDRESS(Sheet1!$T$2*13+ROW(L5)-Sheet1!$T$2,Sheet1!$S$2*15+1+COLUMN(L5)-1)</f>
        <v>$AA$17</v>
      </c>
      <c r="M5" s="6" t="str">
        <f>ADDRESS(Sheet1!$T$2*13+ROW(M5)-Sheet1!$T$2,Sheet1!$S$2*15+1+COLUMN(M5)-1)</f>
        <v>$AB$17</v>
      </c>
      <c r="N5" s="6" t="str">
        <f>ADDRESS(Sheet1!$T$2*13+ROW(N5)-Sheet1!$T$2,Sheet1!$S$2*15+1+COLUMN(N5)-1)</f>
        <v>$AC$17</v>
      </c>
      <c r="O5" s="6" t="str">
        <f>ADDRESS(Sheet1!$T$2*13+ROW(O5)-Sheet1!$T$2,Sheet1!$S$2*15+1+COLUMN(O5)-1)</f>
        <v>$AD$17</v>
      </c>
      <c r="P5" s="5">
        <f t="shared" ca="1" si="0"/>
        <v>0</v>
      </c>
      <c r="Q5" s="6">
        <f t="shared" ca="1" si="1"/>
        <v>1</v>
      </c>
      <c r="R5" s="6">
        <f t="shared" ca="1" si="2"/>
        <v>0</v>
      </c>
      <c r="S5" s="6">
        <f t="shared" ca="1" si="3"/>
        <v>0</v>
      </c>
      <c r="T5" s="6">
        <f t="shared" ca="1" si="4"/>
        <v>0</v>
      </c>
      <c r="U5" s="6">
        <f t="shared" ca="1" si="5"/>
        <v>1</v>
      </c>
      <c r="V5" s="6">
        <f t="shared" ca="1" si="6"/>
        <v>0</v>
      </c>
      <c r="W5" s="6">
        <f t="shared" ca="1" si="7"/>
        <v>1</v>
      </c>
      <c r="X5" s="6">
        <f t="shared" ca="1" si="8"/>
        <v>0</v>
      </c>
      <c r="Y5" s="6">
        <f t="shared" ca="1" si="9"/>
        <v>0</v>
      </c>
      <c r="Z5" s="6">
        <f t="shared" ca="1" si="10"/>
        <v>0</v>
      </c>
      <c r="AA5" s="6">
        <f t="shared" ca="1" si="11"/>
        <v>0</v>
      </c>
      <c r="AB5" s="6">
        <f t="shared" ca="1" si="12"/>
        <v>0</v>
      </c>
      <c r="AC5" s="6">
        <f t="shared" ca="1" si="13"/>
        <v>0</v>
      </c>
      <c r="AD5" s="7">
        <f t="shared" ca="1" si="14"/>
        <v>0</v>
      </c>
      <c r="AG5" s="30"/>
      <c r="AH5" s="31"/>
      <c r="AI5" s="31"/>
      <c r="AJ5" s="32"/>
      <c r="AK5" s="30"/>
      <c r="AL5" s="31"/>
      <c r="AM5" s="31"/>
      <c r="AN5" s="32"/>
      <c r="AO5" s="24"/>
    </row>
    <row r="6" spans="1:75" x14ac:dyDescent="0.3">
      <c r="A6" s="6" t="str">
        <f>ADDRESS(Sheet1!$T$2*13+ROW(A6)-Sheet1!$T$2,Sheet1!$S$2*15+1+COLUMN(A6)-1)</f>
        <v>$P$18</v>
      </c>
      <c r="B6" s="6" t="str">
        <f>ADDRESS(Sheet1!$T$2*13+ROW(B6)-Sheet1!$T$2,Sheet1!$S$2*15+1+COLUMN(B6)-1)</f>
        <v>$Q$18</v>
      </c>
      <c r="C6" s="6" t="str">
        <f>ADDRESS(Sheet1!$T$2*13+ROW(C6)-Sheet1!$T$2,Sheet1!$S$2*15+1+COLUMN(C6)-1)</f>
        <v>$R$18</v>
      </c>
      <c r="D6" s="6" t="str">
        <f>ADDRESS(Sheet1!$T$2*13+ROW(D6)-Sheet1!$T$2,Sheet1!$S$2*15+1+COLUMN(D6)-1)</f>
        <v>$S$18</v>
      </c>
      <c r="E6" s="6" t="str">
        <f>ADDRESS(Sheet1!$T$2*13+ROW(E6)-Sheet1!$T$2,Sheet1!$S$2*15+1+COLUMN(E6)-1)</f>
        <v>$T$18</v>
      </c>
      <c r="F6" s="6" t="str">
        <f>ADDRESS(Sheet1!$T$2*13+ROW(F6)-Sheet1!$T$2,Sheet1!$S$2*15+1+COLUMN(F6)-1)</f>
        <v>$U$18</v>
      </c>
      <c r="G6" s="6" t="str">
        <f>ADDRESS(Sheet1!$T$2*13+ROW(G6)-Sheet1!$T$2,Sheet1!$S$2*15+1+COLUMN(G6)-1)</f>
        <v>$V$18</v>
      </c>
      <c r="H6" s="6" t="str">
        <f>ADDRESS(Sheet1!$T$2*13+ROW(H6)-Sheet1!$T$2,Sheet1!$S$2*15+1+COLUMN(H6)-1)</f>
        <v>$W$18</v>
      </c>
      <c r="I6" s="6" t="str">
        <f>ADDRESS(Sheet1!$T$2*13+ROW(I6)-Sheet1!$T$2,Sheet1!$S$2*15+1+COLUMN(I6)-1)</f>
        <v>$X$18</v>
      </c>
      <c r="J6" s="6" t="str">
        <f>ADDRESS(Sheet1!$T$2*13+ROW(J6)-Sheet1!$T$2,Sheet1!$S$2*15+1+COLUMN(J6)-1)</f>
        <v>$Y$18</v>
      </c>
      <c r="K6" s="6" t="str">
        <f>ADDRESS(Sheet1!$T$2*13+ROW(K6)-Sheet1!$T$2,Sheet1!$S$2*15+1+COLUMN(K6)-1)</f>
        <v>$Z$18</v>
      </c>
      <c r="L6" s="6" t="str">
        <f>ADDRESS(Sheet1!$T$2*13+ROW(L6)-Sheet1!$T$2,Sheet1!$S$2*15+1+COLUMN(L6)-1)</f>
        <v>$AA$18</v>
      </c>
      <c r="M6" s="6" t="str">
        <f>ADDRESS(Sheet1!$T$2*13+ROW(M6)-Sheet1!$T$2,Sheet1!$S$2*15+1+COLUMN(M6)-1)</f>
        <v>$AB$18</v>
      </c>
      <c r="N6" s="6" t="str">
        <f>ADDRESS(Sheet1!$T$2*13+ROW(N6)-Sheet1!$T$2,Sheet1!$S$2*15+1+COLUMN(N6)-1)</f>
        <v>$AC$18</v>
      </c>
      <c r="O6" s="6" t="str">
        <f>ADDRESS(Sheet1!$T$2*13+ROW(O6)-Sheet1!$T$2,Sheet1!$S$2*15+1+COLUMN(O6)-1)</f>
        <v>$AD$18</v>
      </c>
      <c r="P6" s="5">
        <f t="shared" ca="1" si="0"/>
        <v>0</v>
      </c>
      <c r="Q6" s="6">
        <f t="shared" ca="1" si="1"/>
        <v>1</v>
      </c>
      <c r="R6" s="6">
        <f t="shared" ca="1" si="2"/>
        <v>1</v>
      </c>
      <c r="S6" s="6">
        <f t="shared" ca="1" si="3"/>
        <v>1</v>
      </c>
      <c r="T6" s="6">
        <f t="shared" ca="1" si="4"/>
        <v>1</v>
      </c>
      <c r="U6" s="6">
        <f t="shared" ca="1" si="5"/>
        <v>1</v>
      </c>
      <c r="V6" s="6">
        <f t="shared" ca="1" si="6"/>
        <v>1</v>
      </c>
      <c r="W6" s="6">
        <f t="shared" ca="1" si="7"/>
        <v>1</v>
      </c>
      <c r="X6" s="6">
        <f t="shared" ca="1" si="8"/>
        <v>1</v>
      </c>
      <c r="Y6" s="6">
        <f t="shared" ca="1" si="9"/>
        <v>1</v>
      </c>
      <c r="Z6" s="6">
        <f t="shared" ca="1" si="10"/>
        <v>1</v>
      </c>
      <c r="AA6" s="6">
        <f t="shared" ca="1" si="11"/>
        <v>0</v>
      </c>
      <c r="AB6" s="6">
        <f t="shared" ca="1" si="12"/>
        <v>0</v>
      </c>
      <c r="AC6" s="6">
        <f t="shared" ca="1" si="13"/>
        <v>1</v>
      </c>
      <c r="AD6" s="7">
        <f t="shared" ca="1" si="14"/>
        <v>1</v>
      </c>
      <c r="AG6" s="25" t="s">
        <v>19</v>
      </c>
      <c r="AH6" s="26"/>
      <c r="AI6" s="26"/>
      <c r="AJ6" s="27"/>
      <c r="AK6" s="33" t="s">
        <v>20</v>
      </c>
      <c r="AL6" s="34"/>
      <c r="AM6" s="34"/>
      <c r="AN6" s="34"/>
      <c r="AO6" s="34"/>
      <c r="AP6" s="34"/>
      <c r="AQ6" s="35"/>
    </row>
    <row r="7" spans="1:75" x14ac:dyDescent="0.3">
      <c r="A7" s="6" t="str">
        <f>ADDRESS(Sheet1!$T$2*13+ROW(A7)-Sheet1!$T$2,Sheet1!$S$2*15+1+COLUMN(A7)-1)</f>
        <v>$P$19</v>
      </c>
      <c r="B7" s="6" t="str">
        <f>ADDRESS(Sheet1!$T$2*13+ROW(B7)-Sheet1!$T$2,Sheet1!$S$2*15+1+COLUMN(B7)-1)</f>
        <v>$Q$19</v>
      </c>
      <c r="C7" s="6" t="str">
        <f>ADDRESS(Sheet1!$T$2*13+ROW(C7)-Sheet1!$T$2,Sheet1!$S$2*15+1+COLUMN(C7)-1)</f>
        <v>$R$19</v>
      </c>
      <c r="D7" s="6" t="str">
        <f>ADDRESS(Sheet1!$T$2*13+ROW(D7)-Sheet1!$T$2,Sheet1!$S$2*15+1+COLUMN(D7)-1)</f>
        <v>$S$19</v>
      </c>
      <c r="E7" s="6" t="str">
        <f>ADDRESS(Sheet1!$T$2*13+ROW(E7)-Sheet1!$T$2,Sheet1!$S$2*15+1+COLUMN(E7)-1)</f>
        <v>$T$19</v>
      </c>
      <c r="F7" s="6" t="str">
        <f>ADDRESS(Sheet1!$T$2*13+ROW(F7)-Sheet1!$T$2,Sheet1!$S$2*15+1+COLUMN(F7)-1)</f>
        <v>$U$19</v>
      </c>
      <c r="G7" s="6" t="str">
        <f>ADDRESS(Sheet1!$T$2*13+ROW(G7)-Sheet1!$T$2,Sheet1!$S$2*15+1+COLUMN(G7)-1)</f>
        <v>$V$19</v>
      </c>
      <c r="H7" s="6" t="str">
        <f>ADDRESS(Sheet1!$T$2*13+ROW(H7)-Sheet1!$T$2,Sheet1!$S$2*15+1+COLUMN(H7)-1)</f>
        <v>$W$19</v>
      </c>
      <c r="I7" s="6" t="str">
        <f>ADDRESS(Sheet1!$T$2*13+ROW(I7)-Sheet1!$T$2,Sheet1!$S$2*15+1+COLUMN(I7)-1)</f>
        <v>$X$19</v>
      </c>
      <c r="J7" s="6" t="str">
        <f>ADDRESS(Sheet1!$T$2*13+ROW(J7)-Sheet1!$T$2,Sheet1!$S$2*15+1+COLUMN(J7)-1)</f>
        <v>$Y$19</v>
      </c>
      <c r="K7" s="6" t="str">
        <f>ADDRESS(Sheet1!$T$2*13+ROW(K7)-Sheet1!$T$2,Sheet1!$S$2*15+1+COLUMN(K7)-1)</f>
        <v>$Z$19</v>
      </c>
      <c r="L7" s="6" t="str">
        <f>ADDRESS(Sheet1!$T$2*13+ROW(L7)-Sheet1!$T$2,Sheet1!$S$2*15+1+COLUMN(L7)-1)</f>
        <v>$AA$19</v>
      </c>
      <c r="M7" s="6" t="str">
        <f>ADDRESS(Sheet1!$T$2*13+ROW(M7)-Sheet1!$T$2,Sheet1!$S$2*15+1+COLUMN(M7)-1)</f>
        <v>$AB$19</v>
      </c>
      <c r="N7" s="6" t="str">
        <f>ADDRESS(Sheet1!$T$2*13+ROW(N7)-Sheet1!$T$2,Sheet1!$S$2*15+1+COLUMN(N7)-1)</f>
        <v>$AC$19</v>
      </c>
      <c r="O7" s="6" t="str">
        <f>ADDRESS(Sheet1!$T$2*13+ROW(O7)-Sheet1!$T$2,Sheet1!$S$2*15+1+COLUMN(O7)-1)</f>
        <v>$AD$19</v>
      </c>
      <c r="P7" s="5">
        <f t="shared" ca="1" si="0"/>
        <v>0</v>
      </c>
      <c r="Q7" s="6">
        <f t="shared" ca="1" si="1"/>
        <v>1</v>
      </c>
      <c r="R7" s="6">
        <f t="shared" ca="1" si="2"/>
        <v>0</v>
      </c>
      <c r="S7" s="6">
        <f t="shared" ca="1" si="3"/>
        <v>0</v>
      </c>
      <c r="T7" s="6">
        <f t="shared" ca="1" si="4"/>
        <v>0</v>
      </c>
      <c r="U7" s="6">
        <f t="shared" ca="1" si="5"/>
        <v>0</v>
      </c>
      <c r="V7" s="6">
        <f t="shared" ca="1" si="6"/>
        <v>1</v>
      </c>
      <c r="W7" s="6">
        <f t="shared" ca="1" si="7"/>
        <v>0</v>
      </c>
      <c r="X7" s="6">
        <f t="shared" ca="1" si="8"/>
        <v>0</v>
      </c>
      <c r="Y7" s="6">
        <f t="shared" ca="1" si="9"/>
        <v>0</v>
      </c>
      <c r="Z7" s="6">
        <f t="shared" ca="1" si="10"/>
        <v>1</v>
      </c>
      <c r="AA7" s="6">
        <f t="shared" ca="1" si="11"/>
        <v>0</v>
      </c>
      <c r="AB7" s="6">
        <f t="shared" ca="1" si="12"/>
        <v>0</v>
      </c>
      <c r="AC7" s="6">
        <f t="shared" ca="1" si="13"/>
        <v>1</v>
      </c>
      <c r="AD7" s="7">
        <f t="shared" ca="1" si="14"/>
        <v>0</v>
      </c>
      <c r="AG7" s="28"/>
      <c r="AH7" s="23"/>
      <c r="AI7" s="23"/>
      <c r="AJ7" s="29"/>
      <c r="AK7" s="36"/>
      <c r="AL7" s="22"/>
      <c r="AM7" s="22"/>
      <c r="AN7" s="22"/>
      <c r="AO7" s="22"/>
      <c r="AP7" s="22"/>
      <c r="AQ7" s="37"/>
    </row>
    <row r="8" spans="1:75" x14ac:dyDescent="0.3">
      <c r="A8" s="6" t="str">
        <f>ADDRESS(Sheet1!$T$2*13+ROW(A8)-Sheet1!$T$2,Sheet1!$S$2*15+1+COLUMN(A8)-1)</f>
        <v>$P$20</v>
      </c>
      <c r="B8" s="6" t="str">
        <f>ADDRESS(Sheet1!$T$2*13+ROW(B8)-Sheet1!$T$2,Sheet1!$S$2*15+1+COLUMN(B8)-1)</f>
        <v>$Q$20</v>
      </c>
      <c r="C8" s="6" t="str">
        <f>ADDRESS(Sheet1!$T$2*13+ROW(C8)-Sheet1!$T$2,Sheet1!$S$2*15+1+COLUMN(C8)-1)</f>
        <v>$R$20</v>
      </c>
      <c r="D8" s="6" t="str">
        <f>ADDRESS(Sheet1!$T$2*13+ROW(D8)-Sheet1!$T$2,Sheet1!$S$2*15+1+COLUMN(D8)-1)</f>
        <v>$S$20</v>
      </c>
      <c r="E8" s="6" t="str">
        <f>ADDRESS(Sheet1!$T$2*13+ROW(E8)-Sheet1!$T$2,Sheet1!$S$2*15+1+COLUMN(E8)-1)</f>
        <v>$T$20</v>
      </c>
      <c r="F8" s="6" t="str">
        <f>ADDRESS(Sheet1!$T$2*13+ROW(F8)-Sheet1!$T$2,Sheet1!$S$2*15+1+COLUMN(F8)-1)</f>
        <v>$U$20</v>
      </c>
      <c r="G8" s="6" t="str">
        <f>ADDRESS(Sheet1!$T$2*13+ROW(G8)-Sheet1!$T$2,Sheet1!$S$2*15+1+COLUMN(G8)-1)</f>
        <v>$V$20</v>
      </c>
      <c r="H8" s="6" t="str">
        <f>ADDRESS(Sheet1!$T$2*13+ROW(H8)-Sheet1!$T$2,Sheet1!$S$2*15+1+COLUMN(H8)-1)</f>
        <v>$W$20</v>
      </c>
      <c r="I8" s="6" t="str">
        <f>ADDRESS(Sheet1!$T$2*13+ROW(I8)-Sheet1!$T$2,Sheet1!$S$2*15+1+COLUMN(I8)-1)</f>
        <v>$X$20</v>
      </c>
      <c r="J8" s="6" t="str">
        <f>ADDRESS(Sheet1!$T$2*13+ROW(J8)-Sheet1!$T$2,Sheet1!$S$2*15+1+COLUMN(J8)-1)</f>
        <v>$Y$20</v>
      </c>
      <c r="K8" s="6" t="str">
        <f>ADDRESS(Sheet1!$T$2*13+ROW(K8)-Sheet1!$T$2,Sheet1!$S$2*15+1+COLUMN(K8)-1)</f>
        <v>$Z$20</v>
      </c>
      <c r="L8" s="6" t="str">
        <f>ADDRESS(Sheet1!$T$2*13+ROW(L8)-Sheet1!$T$2,Sheet1!$S$2*15+1+COLUMN(L8)-1)</f>
        <v>$AA$20</v>
      </c>
      <c r="M8" s="6" t="str">
        <f>ADDRESS(Sheet1!$T$2*13+ROW(M8)-Sheet1!$T$2,Sheet1!$S$2*15+1+COLUMN(M8)-1)</f>
        <v>$AB$20</v>
      </c>
      <c r="N8" s="6" t="str">
        <f>ADDRESS(Sheet1!$T$2*13+ROW(N8)-Sheet1!$T$2,Sheet1!$S$2*15+1+COLUMN(N8)-1)</f>
        <v>$AC$20</v>
      </c>
      <c r="O8" s="6" t="str">
        <f>ADDRESS(Sheet1!$T$2*13+ROW(O8)-Sheet1!$T$2,Sheet1!$S$2*15+1+COLUMN(O8)-1)</f>
        <v>$AD$20</v>
      </c>
      <c r="P8" s="5">
        <f t="shared" ca="1" si="0"/>
        <v>0</v>
      </c>
      <c r="Q8" s="6">
        <f t="shared" ca="1" si="1"/>
        <v>0</v>
      </c>
      <c r="R8" s="6">
        <f t="shared" ca="1" si="2"/>
        <v>0</v>
      </c>
      <c r="S8" s="6">
        <f t="shared" ca="1" si="3"/>
        <v>1</v>
      </c>
      <c r="T8" s="6">
        <f t="shared" ca="1" si="4"/>
        <v>1</v>
      </c>
      <c r="U8" s="6">
        <f t="shared" ca="1" si="5"/>
        <v>0</v>
      </c>
      <c r="V8" s="6">
        <f t="shared" ca="1" si="6"/>
        <v>1</v>
      </c>
      <c r="W8" s="6">
        <f t="shared" ca="1" si="7"/>
        <v>0</v>
      </c>
      <c r="X8" s="6">
        <f t="shared" ca="1" si="8"/>
        <v>1</v>
      </c>
      <c r="Y8" s="6">
        <f t="shared" ca="1" si="9"/>
        <v>1</v>
      </c>
      <c r="Z8" s="6">
        <f t="shared" ca="1" si="10"/>
        <v>1</v>
      </c>
      <c r="AA8" s="6">
        <f t="shared" ca="1" si="11"/>
        <v>0</v>
      </c>
      <c r="AB8" s="6">
        <f t="shared" ca="1" si="12"/>
        <v>1</v>
      </c>
      <c r="AC8" s="6">
        <f t="shared" ca="1" si="13"/>
        <v>1</v>
      </c>
      <c r="AD8" s="7">
        <f t="shared" ca="1" si="14"/>
        <v>0</v>
      </c>
      <c r="AG8" s="28"/>
      <c r="AH8" s="23"/>
      <c r="AI8" s="23"/>
      <c r="AJ8" s="29"/>
      <c r="AK8" s="36"/>
      <c r="AL8" s="22"/>
      <c r="AM8" s="22"/>
      <c r="AN8" s="22"/>
      <c r="AO8" s="22"/>
      <c r="AP8" s="22"/>
      <c r="AQ8" s="37"/>
    </row>
    <row r="9" spans="1:75" x14ac:dyDescent="0.3">
      <c r="A9" s="6" t="str">
        <f>ADDRESS(Sheet1!$T$2*13+ROW(A9)-Sheet1!$T$2,Sheet1!$S$2*15+1+COLUMN(A9)-1)</f>
        <v>$P$21</v>
      </c>
      <c r="B9" s="6" t="str">
        <f>ADDRESS(Sheet1!$T$2*13+ROW(B9)-Sheet1!$T$2,Sheet1!$S$2*15+1+COLUMN(B9)-1)</f>
        <v>$Q$21</v>
      </c>
      <c r="C9" s="6" t="str">
        <f>ADDRESS(Sheet1!$T$2*13+ROW(C9)-Sheet1!$T$2,Sheet1!$S$2*15+1+COLUMN(C9)-1)</f>
        <v>$R$21</v>
      </c>
      <c r="D9" s="6" t="str">
        <f>ADDRESS(Sheet1!$T$2*13+ROW(D9)-Sheet1!$T$2,Sheet1!$S$2*15+1+COLUMN(D9)-1)</f>
        <v>$S$21</v>
      </c>
      <c r="E9" s="6" t="str">
        <f>ADDRESS(Sheet1!$T$2*13+ROW(E9)-Sheet1!$T$2,Sheet1!$S$2*15+1+COLUMN(E9)-1)</f>
        <v>$T$21</v>
      </c>
      <c r="F9" s="6" t="str">
        <f>ADDRESS(Sheet1!$T$2*13+ROW(F9)-Sheet1!$T$2,Sheet1!$S$2*15+1+COLUMN(F9)-1)</f>
        <v>$U$21</v>
      </c>
      <c r="G9" s="6" t="str">
        <f>ADDRESS(Sheet1!$T$2*13+ROW(G9)-Sheet1!$T$2,Sheet1!$S$2*15+1+COLUMN(G9)-1)</f>
        <v>$V$21</v>
      </c>
      <c r="H9" s="6" t="str">
        <f>ADDRESS(Sheet1!$T$2*13+ROW(H9)-Sheet1!$T$2,Sheet1!$S$2*15+1+COLUMN(H9)-1)</f>
        <v>$W$21</v>
      </c>
      <c r="I9" s="6" t="str">
        <f>ADDRESS(Sheet1!$T$2*13+ROW(I9)-Sheet1!$T$2,Sheet1!$S$2*15+1+COLUMN(I9)-1)</f>
        <v>$X$21</v>
      </c>
      <c r="J9" s="6" t="str">
        <f>ADDRESS(Sheet1!$T$2*13+ROW(J9)-Sheet1!$T$2,Sheet1!$S$2*15+1+COLUMN(J9)-1)</f>
        <v>$Y$21</v>
      </c>
      <c r="K9" s="6" t="str">
        <f>ADDRESS(Sheet1!$T$2*13+ROW(K9)-Sheet1!$T$2,Sheet1!$S$2*15+1+COLUMN(K9)-1)</f>
        <v>$Z$21</v>
      </c>
      <c r="L9" s="6" t="str">
        <f>ADDRESS(Sheet1!$T$2*13+ROW(L9)-Sheet1!$T$2,Sheet1!$S$2*15+1+COLUMN(L9)-1)</f>
        <v>$AA$21</v>
      </c>
      <c r="M9" s="6" t="str">
        <f>ADDRESS(Sheet1!$T$2*13+ROW(M9)-Sheet1!$T$2,Sheet1!$S$2*15+1+COLUMN(M9)-1)</f>
        <v>$AB$21</v>
      </c>
      <c r="N9" s="6" t="str">
        <f>ADDRESS(Sheet1!$T$2*13+ROW(N9)-Sheet1!$T$2,Sheet1!$S$2*15+1+COLUMN(N9)-1)</f>
        <v>$AC$21</v>
      </c>
      <c r="O9" s="6" t="str">
        <f>ADDRESS(Sheet1!$T$2*13+ROW(O9)-Sheet1!$T$2,Sheet1!$S$2*15+1+COLUMN(O9)-1)</f>
        <v>$AD$21</v>
      </c>
      <c r="P9" s="5">
        <f t="shared" ca="1" si="0"/>
        <v>0</v>
      </c>
      <c r="Q9" s="6">
        <f t="shared" ca="1" si="1"/>
        <v>1</v>
      </c>
      <c r="R9" s="6">
        <f t="shared" ca="1" si="2"/>
        <v>0</v>
      </c>
      <c r="S9" s="6">
        <f t="shared" ca="1" si="3"/>
        <v>0</v>
      </c>
      <c r="T9" s="6">
        <f t="shared" ca="1" si="4"/>
        <v>1</v>
      </c>
      <c r="U9" s="6">
        <f t="shared" ca="1" si="5"/>
        <v>0</v>
      </c>
      <c r="V9" s="6">
        <f t="shared" ca="1" si="6"/>
        <v>1</v>
      </c>
      <c r="W9" s="6">
        <f t="shared" ca="1" si="7"/>
        <v>0</v>
      </c>
      <c r="X9" s="6">
        <f t="shared" ca="1" si="8"/>
        <v>0</v>
      </c>
      <c r="Y9" s="6">
        <f t="shared" ca="1" si="9"/>
        <v>0</v>
      </c>
      <c r="Z9" s="6">
        <f t="shared" ca="1" si="10"/>
        <v>0</v>
      </c>
      <c r="AA9" s="6">
        <f t="shared" ca="1" si="11"/>
        <v>0</v>
      </c>
      <c r="AB9" s="6">
        <f t="shared" ca="1" si="12"/>
        <v>1</v>
      </c>
      <c r="AC9" s="6">
        <f t="shared" ca="1" si="13"/>
        <v>0</v>
      </c>
      <c r="AD9" s="7">
        <f t="shared" ca="1" si="14"/>
        <v>0</v>
      </c>
      <c r="AG9" s="30"/>
      <c r="AH9" s="31"/>
      <c r="AI9" s="31"/>
      <c r="AJ9" s="32"/>
      <c r="AK9" s="36"/>
      <c r="AL9" s="22"/>
      <c r="AM9" s="22"/>
      <c r="AN9" s="22"/>
      <c r="AO9" s="22"/>
      <c r="AP9" s="22"/>
      <c r="AQ9" s="37"/>
    </row>
    <row r="10" spans="1:75" x14ac:dyDescent="0.3">
      <c r="A10" s="6" t="str">
        <f>ADDRESS(Sheet1!$T$2*13+ROW(A10)-Sheet1!$T$2,Sheet1!$S$2*15+1+COLUMN(A10)-1)</f>
        <v>$P$22</v>
      </c>
      <c r="B10" s="6" t="str">
        <f>ADDRESS(Sheet1!$T$2*13+ROW(B10)-Sheet1!$T$2,Sheet1!$S$2*15+1+COLUMN(B10)-1)</f>
        <v>$Q$22</v>
      </c>
      <c r="C10" s="6" t="str">
        <f>ADDRESS(Sheet1!$T$2*13+ROW(C10)-Sheet1!$T$2,Sheet1!$S$2*15+1+COLUMN(C10)-1)</f>
        <v>$R$22</v>
      </c>
      <c r="D10" s="6" t="str">
        <f>ADDRESS(Sheet1!$T$2*13+ROW(D10)-Sheet1!$T$2,Sheet1!$S$2*15+1+COLUMN(D10)-1)</f>
        <v>$S$22</v>
      </c>
      <c r="E10" s="6" t="str">
        <f>ADDRESS(Sheet1!$T$2*13+ROW(E10)-Sheet1!$T$2,Sheet1!$S$2*15+1+COLUMN(E10)-1)</f>
        <v>$T$22</v>
      </c>
      <c r="F10" s="6" t="str">
        <f>ADDRESS(Sheet1!$T$2*13+ROW(F10)-Sheet1!$T$2,Sheet1!$S$2*15+1+COLUMN(F10)-1)</f>
        <v>$U$22</v>
      </c>
      <c r="G10" s="6" t="str">
        <f>ADDRESS(Sheet1!$T$2*13+ROW(G10)-Sheet1!$T$2,Sheet1!$S$2*15+1+COLUMN(G10)-1)</f>
        <v>$V$22</v>
      </c>
      <c r="H10" s="6" t="str">
        <f>ADDRESS(Sheet1!$T$2*13+ROW(H10)-Sheet1!$T$2,Sheet1!$S$2*15+1+COLUMN(H10)-1)</f>
        <v>$W$22</v>
      </c>
      <c r="I10" s="6" t="str">
        <f>ADDRESS(Sheet1!$T$2*13+ROW(I10)-Sheet1!$T$2,Sheet1!$S$2*15+1+COLUMN(I10)-1)</f>
        <v>$X$22</v>
      </c>
      <c r="J10" s="6" t="str">
        <f>ADDRESS(Sheet1!$T$2*13+ROW(J10)-Sheet1!$T$2,Sheet1!$S$2*15+1+COLUMN(J10)-1)</f>
        <v>$Y$22</v>
      </c>
      <c r="K10" s="6" t="str">
        <f>ADDRESS(Sheet1!$T$2*13+ROW(K10)-Sheet1!$T$2,Sheet1!$S$2*15+1+COLUMN(K10)-1)</f>
        <v>$Z$22</v>
      </c>
      <c r="L10" s="6" t="str">
        <f>ADDRESS(Sheet1!$T$2*13+ROW(L10)-Sheet1!$T$2,Sheet1!$S$2*15+1+COLUMN(L10)-1)</f>
        <v>$AA$22</v>
      </c>
      <c r="M10" s="6" t="str">
        <f>ADDRESS(Sheet1!$T$2*13+ROW(M10)-Sheet1!$T$2,Sheet1!$S$2*15+1+COLUMN(M10)-1)</f>
        <v>$AB$22</v>
      </c>
      <c r="N10" s="6" t="str">
        <f>ADDRESS(Sheet1!$T$2*13+ROW(N10)-Sheet1!$T$2,Sheet1!$S$2*15+1+COLUMN(N10)-1)</f>
        <v>$AC$22</v>
      </c>
      <c r="O10" s="6" t="str">
        <f>ADDRESS(Sheet1!$T$2*13+ROW(O10)-Sheet1!$T$2,Sheet1!$S$2*15+1+COLUMN(O10)-1)</f>
        <v>$AD$22</v>
      </c>
      <c r="P10" s="5">
        <f t="shared" ca="1" si="0"/>
        <v>0</v>
      </c>
      <c r="Q10" s="6">
        <f t="shared" ca="1" si="1"/>
        <v>1</v>
      </c>
      <c r="R10" s="6">
        <f t="shared" ca="1" si="2"/>
        <v>1</v>
      </c>
      <c r="S10" s="6">
        <f t="shared" ca="1" si="3"/>
        <v>1</v>
      </c>
      <c r="T10" s="6">
        <f t="shared" ca="1" si="4"/>
        <v>1</v>
      </c>
      <c r="U10" s="6">
        <f t="shared" ca="1" si="5"/>
        <v>1</v>
      </c>
      <c r="V10" s="6">
        <f t="shared" ca="1" si="6"/>
        <v>1</v>
      </c>
      <c r="W10" s="6">
        <f t="shared" ca="1" si="7"/>
        <v>0</v>
      </c>
      <c r="X10" s="6">
        <f t="shared" ca="1" si="8"/>
        <v>1</v>
      </c>
      <c r="Y10" s="6">
        <f t="shared" ca="1" si="9"/>
        <v>1</v>
      </c>
      <c r="Z10" s="6">
        <f t="shared" ca="1" si="10"/>
        <v>1</v>
      </c>
      <c r="AA10" s="6">
        <f t="shared" ca="1" si="11"/>
        <v>0</v>
      </c>
      <c r="AB10" s="6">
        <f t="shared" ca="1" si="12"/>
        <v>1</v>
      </c>
      <c r="AC10" s="6">
        <f t="shared" ca="1" si="13"/>
        <v>1</v>
      </c>
      <c r="AD10" s="7">
        <f t="shared" ca="1" si="14"/>
        <v>1</v>
      </c>
      <c r="AJ10" s="24"/>
      <c r="AK10" s="36"/>
      <c r="AL10" s="22"/>
      <c r="AM10" s="22"/>
      <c r="AN10" s="22"/>
      <c r="AO10" s="22"/>
      <c r="AP10" s="22"/>
      <c r="AQ10" s="37"/>
    </row>
    <row r="11" spans="1:75" x14ac:dyDescent="0.3">
      <c r="A11" s="6" t="str">
        <f>ADDRESS(Sheet1!$T$2*13+ROW(A11)-Sheet1!$T$2,Sheet1!$S$2*15+1+COLUMN(A11)-1)</f>
        <v>$P$23</v>
      </c>
      <c r="B11" s="6" t="str">
        <f>ADDRESS(Sheet1!$T$2*13+ROW(B11)-Sheet1!$T$2,Sheet1!$S$2*15+1+COLUMN(B11)-1)</f>
        <v>$Q$23</v>
      </c>
      <c r="C11" s="6" t="str">
        <f>ADDRESS(Sheet1!$T$2*13+ROW(C11)-Sheet1!$T$2,Sheet1!$S$2*15+1+COLUMN(C11)-1)</f>
        <v>$R$23</v>
      </c>
      <c r="D11" s="6" t="str">
        <f>ADDRESS(Sheet1!$T$2*13+ROW(D11)-Sheet1!$T$2,Sheet1!$S$2*15+1+COLUMN(D11)-1)</f>
        <v>$S$23</v>
      </c>
      <c r="E11" s="6" t="str">
        <f>ADDRESS(Sheet1!$T$2*13+ROW(E11)-Sheet1!$T$2,Sheet1!$S$2*15+1+COLUMN(E11)-1)</f>
        <v>$T$23</v>
      </c>
      <c r="F11" s="6" t="str">
        <f>ADDRESS(Sheet1!$T$2*13+ROW(F11)-Sheet1!$T$2,Sheet1!$S$2*15+1+COLUMN(F11)-1)</f>
        <v>$U$23</v>
      </c>
      <c r="G11" s="6" t="str">
        <f>ADDRESS(Sheet1!$T$2*13+ROW(G11)-Sheet1!$T$2,Sheet1!$S$2*15+1+COLUMN(G11)-1)</f>
        <v>$V$23</v>
      </c>
      <c r="H11" s="6" t="str">
        <f>ADDRESS(Sheet1!$T$2*13+ROW(H11)-Sheet1!$T$2,Sheet1!$S$2*15+1+COLUMN(H11)-1)</f>
        <v>$W$23</v>
      </c>
      <c r="I11" s="6" t="str">
        <f>ADDRESS(Sheet1!$T$2*13+ROW(I11)-Sheet1!$T$2,Sheet1!$S$2*15+1+COLUMN(I11)-1)</f>
        <v>$X$23</v>
      </c>
      <c r="J11" s="6" t="str">
        <f>ADDRESS(Sheet1!$T$2*13+ROW(J11)-Sheet1!$T$2,Sheet1!$S$2*15+1+COLUMN(J11)-1)</f>
        <v>$Y$23</v>
      </c>
      <c r="K11" s="6" t="str">
        <f>ADDRESS(Sheet1!$T$2*13+ROW(K11)-Sheet1!$T$2,Sheet1!$S$2*15+1+COLUMN(K11)-1)</f>
        <v>$Z$23</v>
      </c>
      <c r="L11" s="6" t="str">
        <f>ADDRESS(Sheet1!$T$2*13+ROW(L11)-Sheet1!$T$2,Sheet1!$S$2*15+1+COLUMN(L11)-1)</f>
        <v>$AA$23</v>
      </c>
      <c r="M11" s="6" t="str">
        <f>ADDRESS(Sheet1!$T$2*13+ROW(M11)-Sheet1!$T$2,Sheet1!$S$2*15+1+COLUMN(M11)-1)</f>
        <v>$AB$23</v>
      </c>
      <c r="N11" s="6" t="str">
        <f>ADDRESS(Sheet1!$T$2*13+ROW(N11)-Sheet1!$T$2,Sheet1!$S$2*15+1+COLUMN(N11)-1)</f>
        <v>$AC$23</v>
      </c>
      <c r="O11" s="6" t="str">
        <f>ADDRESS(Sheet1!$T$2*13+ROW(O11)-Sheet1!$T$2,Sheet1!$S$2*15+1+COLUMN(O11)-1)</f>
        <v>$AD$23</v>
      </c>
      <c r="P11" s="5">
        <f t="shared" ca="1" si="0"/>
        <v>0</v>
      </c>
      <c r="Q11" s="6">
        <f t="shared" ca="1" si="1"/>
        <v>1</v>
      </c>
      <c r="R11" s="6">
        <f t="shared" ca="1" si="2"/>
        <v>0</v>
      </c>
      <c r="S11" s="6">
        <f t="shared" ca="1" si="3"/>
        <v>1</v>
      </c>
      <c r="T11" s="6">
        <f t="shared" ca="1" si="4"/>
        <v>0</v>
      </c>
      <c r="U11" s="6">
        <f t="shared" ca="1" si="5"/>
        <v>1</v>
      </c>
      <c r="V11" s="6">
        <f t="shared" ca="1" si="6"/>
        <v>0</v>
      </c>
      <c r="W11" s="6">
        <f t="shared" ca="1" si="7"/>
        <v>0</v>
      </c>
      <c r="X11" s="6">
        <f t="shared" ca="1" si="8"/>
        <v>1</v>
      </c>
      <c r="Y11" s="6">
        <f t="shared" ca="1" si="9"/>
        <v>0</v>
      </c>
      <c r="Z11" s="6">
        <f t="shared" ca="1" si="10"/>
        <v>1</v>
      </c>
      <c r="AA11" s="6">
        <f t="shared" ca="1" si="11"/>
        <v>0</v>
      </c>
      <c r="AB11" s="6">
        <f t="shared" ca="1" si="12"/>
        <v>0</v>
      </c>
      <c r="AC11" s="6">
        <f t="shared" ca="1" si="13"/>
        <v>1</v>
      </c>
      <c r="AD11" s="7">
        <f t="shared" ca="1" si="14"/>
        <v>0</v>
      </c>
      <c r="AK11" s="36"/>
      <c r="AL11" s="22"/>
      <c r="AM11" s="22"/>
      <c r="AN11" s="22"/>
      <c r="AO11" s="22"/>
      <c r="AP11" s="22"/>
      <c r="AQ11" s="37"/>
    </row>
    <row r="12" spans="1:75" ht="15" thickBot="1" x14ac:dyDescent="0.35">
      <c r="A12" s="6" t="str">
        <f>ADDRESS(Sheet1!$T$2*13+ROW(A12)-Sheet1!$T$2,Sheet1!$S$2*15+1+COLUMN(A12)-1)</f>
        <v>$P$24</v>
      </c>
      <c r="B12" s="6" t="str">
        <f>ADDRESS(Sheet1!$T$2*13+ROW(B12)-Sheet1!$T$2,Sheet1!$S$2*15+1+COLUMN(B12)-1)</f>
        <v>$Q$24</v>
      </c>
      <c r="C12" s="6" t="str">
        <f>ADDRESS(Sheet1!$T$2*13+ROW(C12)-Sheet1!$T$2,Sheet1!$S$2*15+1+COLUMN(C12)-1)</f>
        <v>$R$24</v>
      </c>
      <c r="D12" s="6" t="str">
        <f>ADDRESS(Sheet1!$T$2*13+ROW(D12)-Sheet1!$T$2,Sheet1!$S$2*15+1+COLUMN(D12)-1)</f>
        <v>$S$24</v>
      </c>
      <c r="E12" s="6" t="str">
        <f>ADDRESS(Sheet1!$T$2*13+ROW(E12)-Sheet1!$T$2,Sheet1!$S$2*15+1+COLUMN(E12)-1)</f>
        <v>$T$24</v>
      </c>
      <c r="F12" s="6" t="str">
        <f>ADDRESS(Sheet1!$T$2*13+ROW(F12)-Sheet1!$T$2,Sheet1!$S$2*15+1+COLUMN(F12)-1)</f>
        <v>$U$24</v>
      </c>
      <c r="G12" s="6" t="str">
        <f>ADDRESS(Sheet1!$T$2*13+ROW(G12)-Sheet1!$T$2,Sheet1!$S$2*15+1+COLUMN(G12)-1)</f>
        <v>$V$24</v>
      </c>
      <c r="H12" s="6" t="str">
        <f>ADDRESS(Sheet1!$T$2*13+ROW(H12)-Sheet1!$T$2,Sheet1!$S$2*15+1+COLUMN(H12)-1)</f>
        <v>$W$24</v>
      </c>
      <c r="I12" s="6" t="str">
        <f>ADDRESS(Sheet1!$T$2*13+ROW(I12)-Sheet1!$T$2,Sheet1!$S$2*15+1+COLUMN(I12)-1)</f>
        <v>$X$24</v>
      </c>
      <c r="J12" s="6" t="str">
        <f>ADDRESS(Sheet1!$T$2*13+ROW(J12)-Sheet1!$T$2,Sheet1!$S$2*15+1+COLUMN(J12)-1)</f>
        <v>$Y$24</v>
      </c>
      <c r="K12" s="6" t="str">
        <f>ADDRESS(Sheet1!$T$2*13+ROW(K12)-Sheet1!$T$2,Sheet1!$S$2*15+1+COLUMN(K12)-1)</f>
        <v>$Z$24</v>
      </c>
      <c r="L12" s="6" t="str">
        <f>ADDRESS(Sheet1!$T$2*13+ROW(L12)-Sheet1!$T$2,Sheet1!$S$2*15+1+COLUMN(L12)-1)</f>
        <v>$AA$24</v>
      </c>
      <c r="M12" s="6" t="str">
        <f>ADDRESS(Sheet1!$T$2*13+ROW(M12)-Sheet1!$T$2,Sheet1!$S$2*15+1+COLUMN(M12)-1)</f>
        <v>$AB$24</v>
      </c>
      <c r="N12" s="6" t="str">
        <f>ADDRESS(Sheet1!$T$2*13+ROW(N12)-Sheet1!$T$2,Sheet1!$S$2*15+1+COLUMN(N12)-1)</f>
        <v>$AC$24</v>
      </c>
      <c r="O12" s="6" t="str">
        <f>ADDRESS(Sheet1!$T$2*13+ROW(O12)-Sheet1!$T$2,Sheet1!$S$2*15+1+COLUMN(O12)-1)</f>
        <v>$AD$24</v>
      </c>
      <c r="P12" s="5">
        <f t="shared" ca="1" si="0"/>
        <v>0</v>
      </c>
      <c r="Q12" s="6">
        <f t="shared" ca="1" si="1"/>
        <v>1</v>
      </c>
      <c r="R12" s="6">
        <f t="shared" ca="1" si="2"/>
        <v>0</v>
      </c>
      <c r="S12" s="6">
        <f t="shared" ca="1" si="3"/>
        <v>0</v>
      </c>
      <c r="T12" s="6">
        <f t="shared" ca="1" si="4"/>
        <v>0</v>
      </c>
      <c r="U12" s="6">
        <f t="shared" ca="1" si="5"/>
        <v>1</v>
      </c>
      <c r="V12" s="6">
        <f t="shared" ca="1" si="6"/>
        <v>0</v>
      </c>
      <c r="W12" s="6">
        <f t="shared" ca="1" si="7"/>
        <v>0</v>
      </c>
      <c r="X12" s="6">
        <f t="shared" ca="1" si="8"/>
        <v>1</v>
      </c>
      <c r="Y12" s="6">
        <f t="shared" ca="1" si="9"/>
        <v>0</v>
      </c>
      <c r="Z12" s="6">
        <f t="shared" ca="1" si="10"/>
        <v>1</v>
      </c>
      <c r="AA12" s="6">
        <f t="shared" ca="1" si="11"/>
        <v>0</v>
      </c>
      <c r="AB12" s="6">
        <f t="shared" ca="1" si="12"/>
        <v>0</v>
      </c>
      <c r="AC12" s="6">
        <f t="shared" ca="1" si="13"/>
        <v>1</v>
      </c>
      <c r="AD12" s="7">
        <f t="shared" ca="1" si="14"/>
        <v>0</v>
      </c>
      <c r="AK12" s="38"/>
      <c r="AL12" s="39"/>
      <c r="AM12" s="39"/>
      <c r="AN12" s="39"/>
      <c r="AO12" s="39"/>
      <c r="AP12" s="39"/>
      <c r="AQ12" s="40"/>
    </row>
    <row r="13" spans="1:75" x14ac:dyDescent="0.3">
      <c r="A13" s="2">
        <f t="shared" ref="A13:O13" ca="1" si="15">IF(P1=0,0,"")</f>
        <v>0</v>
      </c>
      <c r="B13" s="3">
        <f t="shared" ca="1" si="15"/>
        <v>0</v>
      </c>
      <c r="C13" s="3">
        <f t="shared" ca="1" si="15"/>
        <v>0</v>
      </c>
      <c r="D13" s="3">
        <f t="shared" ca="1" si="15"/>
        <v>0</v>
      </c>
      <c r="E13" s="3">
        <f t="shared" ca="1" si="15"/>
        <v>0</v>
      </c>
      <c r="F13" s="3">
        <f t="shared" ca="1" si="15"/>
        <v>0</v>
      </c>
      <c r="G13" s="3">
        <f t="shared" ca="1" si="15"/>
        <v>0</v>
      </c>
      <c r="H13" s="3">
        <f t="shared" ca="1" si="15"/>
        <v>0</v>
      </c>
      <c r="I13" s="3">
        <f t="shared" ca="1" si="15"/>
        <v>0</v>
      </c>
      <c r="J13" s="3">
        <f t="shared" ca="1" si="15"/>
        <v>0</v>
      </c>
      <c r="K13" s="3">
        <f t="shared" ca="1" si="15"/>
        <v>0</v>
      </c>
      <c r="L13" s="3">
        <f t="shared" ca="1" si="15"/>
        <v>0</v>
      </c>
      <c r="M13" s="3">
        <f t="shared" ca="1" si="15"/>
        <v>0</v>
      </c>
      <c r="N13" s="3">
        <f t="shared" ca="1" si="15"/>
        <v>0</v>
      </c>
      <c r="O13" s="3">
        <f t="shared" ca="1" si="15"/>
        <v>0</v>
      </c>
      <c r="P13" s="2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4">
        <v>0</v>
      </c>
      <c r="AE13" s="2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3">
        <v>0</v>
      </c>
      <c r="AS13" s="4">
        <v>0</v>
      </c>
      <c r="AT13" s="2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4">
        <v>0</v>
      </c>
      <c r="BI13" s="2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T13" s="3">
        <v>0</v>
      </c>
      <c r="BU13" s="3">
        <v>0</v>
      </c>
      <c r="BV13" s="3">
        <v>0</v>
      </c>
      <c r="BW13" s="4">
        <v>0</v>
      </c>
    </row>
    <row r="14" spans="1:75" x14ac:dyDescent="0.3">
      <c r="A14" s="5">
        <f t="shared" ref="A14:A24" ca="1" si="16">IF(P2=0,0,"")</f>
        <v>0</v>
      </c>
      <c r="B14" s="6" t="str">
        <f t="shared" ref="B14:B24" ca="1" si="17">IF(Q2=0,0,"")</f>
        <v/>
      </c>
      <c r="C14" s="6" t="str">
        <f t="shared" ref="C14:C24" ca="1" si="18">IF(R2=0,0,"")</f>
        <v/>
      </c>
      <c r="D14" s="6">
        <f t="shared" ref="D14:D24" ca="1" si="19">IF(S2=0,0,"")</f>
        <v>0</v>
      </c>
      <c r="E14" s="6" t="str">
        <f t="shared" ref="E14:E24" ca="1" si="20">IF(T2=0,0,"")</f>
        <v/>
      </c>
      <c r="F14" s="6" t="str">
        <f t="shared" ref="F14:F24" ca="1" si="21">IF(U2=0,0,"")</f>
        <v/>
      </c>
      <c r="G14" s="6" t="str">
        <f t="shared" ref="G14:G24" ca="1" si="22">IF(V2=0,0,"")</f>
        <v/>
      </c>
      <c r="H14" s="6" t="str">
        <f t="shared" ref="H14:H24" ca="1" si="23">IF(W2=0,0,"")</f>
        <v/>
      </c>
      <c r="I14" s="6" t="str">
        <f t="shared" ref="I14:I24" ca="1" si="24">IF(X2=0,0,"")</f>
        <v/>
      </c>
      <c r="J14" s="6" t="str">
        <f t="shared" ref="J14:J24" ca="1" si="25">IF(Y2=0,0,"")</f>
        <v/>
      </c>
      <c r="K14" s="6" t="str">
        <f t="shared" ref="K14:K24" ca="1" si="26">IF(Z2=0,0,"")</f>
        <v/>
      </c>
      <c r="L14" s="6">
        <f t="shared" ref="L14:L24" ca="1" si="27">IF(AA2=0,0,"")</f>
        <v>0</v>
      </c>
      <c r="M14" s="6" t="str">
        <f t="shared" ref="M14:M24" ca="1" si="28">IF(AB2=0,0,"")</f>
        <v/>
      </c>
      <c r="N14" s="6" t="str">
        <f t="shared" ref="N14:N24" ca="1" si="29">IF(AC2=0,0,"")</f>
        <v/>
      </c>
      <c r="O14" s="6" t="str">
        <f t="shared" ref="O14:O24" ca="1" si="30">IF(AD2=0,0,"")</f>
        <v/>
      </c>
      <c r="P14" s="5">
        <v>0</v>
      </c>
      <c r="Q14" s="42">
        <v>1</v>
      </c>
      <c r="R14" s="42">
        <v>1</v>
      </c>
      <c r="S14" s="6">
        <v>0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0</v>
      </c>
      <c r="AB14" s="6">
        <v>1</v>
      </c>
      <c r="AC14" s="6">
        <v>1</v>
      </c>
      <c r="AD14" s="7">
        <v>1</v>
      </c>
      <c r="AE14" s="5">
        <v>1</v>
      </c>
      <c r="AF14" s="6">
        <v>1</v>
      </c>
      <c r="AG14" s="6">
        <v>1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1</v>
      </c>
      <c r="AN14" s="6">
        <v>1</v>
      </c>
      <c r="AO14" s="6">
        <v>1</v>
      </c>
      <c r="AP14" s="6">
        <v>0</v>
      </c>
      <c r="AQ14" s="6">
        <v>1</v>
      </c>
      <c r="AR14" s="6">
        <v>0</v>
      </c>
      <c r="AS14" s="7">
        <v>1</v>
      </c>
      <c r="AT14" s="5">
        <v>1</v>
      </c>
      <c r="AU14" s="6">
        <v>1</v>
      </c>
      <c r="AV14" s="6">
        <v>0</v>
      </c>
      <c r="AW14" s="6">
        <v>1</v>
      </c>
      <c r="AX14" s="6">
        <v>0</v>
      </c>
      <c r="AY14" s="49">
        <v>1</v>
      </c>
      <c r="AZ14" s="49">
        <v>1</v>
      </c>
      <c r="BA14" s="49">
        <v>1</v>
      </c>
      <c r="BB14" s="49">
        <v>1</v>
      </c>
      <c r="BC14" s="6">
        <v>0</v>
      </c>
      <c r="BD14" s="6">
        <v>0</v>
      </c>
      <c r="BE14" s="6">
        <v>0</v>
      </c>
      <c r="BF14" s="6">
        <v>1</v>
      </c>
      <c r="BG14" s="6">
        <v>0</v>
      </c>
      <c r="BH14" s="7">
        <v>0</v>
      </c>
      <c r="BI14" s="5">
        <v>0</v>
      </c>
      <c r="BJ14" s="49">
        <v>1</v>
      </c>
      <c r="BK14" s="49">
        <v>1</v>
      </c>
      <c r="BL14" s="49">
        <v>1</v>
      </c>
      <c r="BM14" s="6">
        <v>0</v>
      </c>
      <c r="BN14" s="6">
        <v>0</v>
      </c>
      <c r="BO14" s="49">
        <v>1</v>
      </c>
      <c r="BP14" s="49">
        <v>1</v>
      </c>
      <c r="BQ14" s="49">
        <v>1</v>
      </c>
      <c r="BR14" s="6">
        <v>0</v>
      </c>
      <c r="BS14" s="49">
        <v>1</v>
      </c>
      <c r="BT14" s="49">
        <v>1</v>
      </c>
      <c r="BU14" s="49">
        <v>1</v>
      </c>
      <c r="BV14" s="6">
        <v>0</v>
      </c>
      <c r="BW14" s="7">
        <v>0</v>
      </c>
    </row>
    <row r="15" spans="1:75" x14ac:dyDescent="0.3">
      <c r="A15" s="5">
        <f t="shared" ca="1" si="16"/>
        <v>0</v>
      </c>
      <c r="B15" s="6">
        <f t="shared" ca="1" si="17"/>
        <v>0</v>
      </c>
      <c r="C15" s="6" t="str">
        <f t="shared" ca="1" si="18"/>
        <v/>
      </c>
      <c r="D15" s="6">
        <f t="shared" ca="1" si="19"/>
        <v>0</v>
      </c>
      <c r="E15" s="6" t="str">
        <f t="shared" ca="1" si="20"/>
        <v/>
      </c>
      <c r="F15" s="6">
        <f t="shared" ca="1" si="21"/>
        <v>0</v>
      </c>
      <c r="G15" s="6">
        <f t="shared" ca="1" si="22"/>
        <v>0</v>
      </c>
      <c r="H15" s="6" t="str">
        <f t="shared" ca="1" si="23"/>
        <v/>
      </c>
      <c r="I15" s="6">
        <f t="shared" ca="1" si="24"/>
        <v>0</v>
      </c>
      <c r="J15" s="6">
        <f t="shared" ca="1" si="25"/>
        <v>0</v>
      </c>
      <c r="K15" s="6" t="str">
        <f t="shared" ca="1" si="26"/>
        <v/>
      </c>
      <c r="L15" s="6">
        <f t="shared" ca="1" si="27"/>
        <v>0</v>
      </c>
      <c r="M15" s="6" t="str">
        <f t="shared" ca="1" si="28"/>
        <v/>
      </c>
      <c r="N15" s="6">
        <f t="shared" ca="1" si="29"/>
        <v>0</v>
      </c>
      <c r="O15" s="6">
        <f t="shared" ca="1" si="30"/>
        <v>0</v>
      </c>
      <c r="P15" s="5">
        <v>0</v>
      </c>
      <c r="Q15" s="6">
        <v>0</v>
      </c>
      <c r="R15" s="42">
        <v>1</v>
      </c>
      <c r="S15" s="6">
        <v>0</v>
      </c>
      <c r="T15" s="6">
        <v>1</v>
      </c>
      <c r="U15" s="6">
        <v>0</v>
      </c>
      <c r="V15" s="6">
        <v>0</v>
      </c>
      <c r="W15" s="6">
        <v>1</v>
      </c>
      <c r="X15" s="6">
        <v>0</v>
      </c>
      <c r="Y15" s="6">
        <v>0</v>
      </c>
      <c r="Z15" s="6">
        <v>1</v>
      </c>
      <c r="AA15" s="6">
        <v>0</v>
      </c>
      <c r="AB15" s="6">
        <v>1</v>
      </c>
      <c r="AC15" s="6">
        <v>0</v>
      </c>
      <c r="AD15" s="7">
        <v>0</v>
      </c>
      <c r="AE15" s="5">
        <v>0</v>
      </c>
      <c r="AF15" s="6">
        <v>0</v>
      </c>
      <c r="AG15" s="6">
        <v>1</v>
      </c>
      <c r="AH15" s="6">
        <v>1</v>
      </c>
      <c r="AI15" s="6">
        <v>1</v>
      </c>
      <c r="AJ15" s="6">
        <v>1</v>
      </c>
      <c r="AK15" s="6">
        <v>1</v>
      </c>
      <c r="AL15" s="6">
        <v>0</v>
      </c>
      <c r="AM15" s="6">
        <v>0</v>
      </c>
      <c r="AN15" s="6">
        <v>0</v>
      </c>
      <c r="AO15" s="6">
        <v>1</v>
      </c>
      <c r="AP15" s="6">
        <v>0</v>
      </c>
      <c r="AQ15" s="6">
        <v>1</v>
      </c>
      <c r="AR15" s="6">
        <v>1</v>
      </c>
      <c r="AS15" s="7">
        <v>0</v>
      </c>
      <c r="AT15" s="5">
        <v>0</v>
      </c>
      <c r="AU15" s="6">
        <v>1</v>
      </c>
      <c r="AV15" s="6">
        <v>1</v>
      </c>
      <c r="AW15" s="6">
        <v>1</v>
      </c>
      <c r="AX15" s="6">
        <v>1</v>
      </c>
      <c r="AY15" s="49">
        <v>1</v>
      </c>
      <c r="AZ15" s="6">
        <v>0</v>
      </c>
      <c r="BA15" s="6">
        <v>0</v>
      </c>
      <c r="BB15" s="49">
        <v>1</v>
      </c>
      <c r="BC15" s="6">
        <v>0</v>
      </c>
      <c r="BD15" s="6">
        <v>1</v>
      </c>
      <c r="BE15" s="6">
        <v>0</v>
      </c>
      <c r="BF15" s="6">
        <v>1</v>
      </c>
      <c r="BG15" s="6">
        <v>1</v>
      </c>
      <c r="BH15" s="7">
        <v>1</v>
      </c>
      <c r="BI15" s="5">
        <v>1</v>
      </c>
      <c r="BJ15" s="49">
        <v>1</v>
      </c>
      <c r="BK15" s="6">
        <v>0</v>
      </c>
      <c r="BL15" s="49">
        <v>1</v>
      </c>
      <c r="BM15" s="6">
        <v>0</v>
      </c>
      <c r="BN15" s="6">
        <v>0</v>
      </c>
      <c r="BO15" s="49">
        <v>1</v>
      </c>
      <c r="BP15" s="6">
        <v>0</v>
      </c>
      <c r="BQ15" s="6">
        <v>1</v>
      </c>
      <c r="BR15" s="6">
        <v>0</v>
      </c>
      <c r="BS15" s="49">
        <v>1</v>
      </c>
      <c r="BT15" s="6">
        <v>0</v>
      </c>
      <c r="BU15" s="49">
        <v>1</v>
      </c>
      <c r="BV15" s="6">
        <v>0</v>
      </c>
      <c r="BW15" s="7">
        <v>0</v>
      </c>
    </row>
    <row r="16" spans="1:75" x14ac:dyDescent="0.3">
      <c r="A16" s="5">
        <f t="shared" ca="1" si="16"/>
        <v>0</v>
      </c>
      <c r="B16" s="6" t="str">
        <f t="shared" ca="1" si="17"/>
        <v/>
      </c>
      <c r="C16" s="6" t="str">
        <f t="shared" ca="1" si="18"/>
        <v/>
      </c>
      <c r="D16" s="6">
        <f t="shared" ca="1" si="19"/>
        <v>0</v>
      </c>
      <c r="E16" s="6" t="str">
        <f t="shared" ca="1" si="20"/>
        <v/>
      </c>
      <c r="F16" s="6" t="str">
        <f t="shared" ca="1" si="21"/>
        <v/>
      </c>
      <c r="G16" s="6">
        <f t="shared" ca="1" si="22"/>
        <v>0</v>
      </c>
      <c r="H16" s="6" t="str">
        <f t="shared" ca="1" si="23"/>
        <v/>
      </c>
      <c r="I16" s="6">
        <f t="shared" ca="1" si="24"/>
        <v>0</v>
      </c>
      <c r="J16" s="6" t="str">
        <f t="shared" ca="1" si="25"/>
        <v/>
      </c>
      <c r="K16" s="6" t="str">
        <f t="shared" ca="1" si="26"/>
        <v/>
      </c>
      <c r="L16" s="6" t="str">
        <f t="shared" ca="1" si="27"/>
        <v/>
      </c>
      <c r="M16" s="6" t="str">
        <f t="shared" ca="1" si="28"/>
        <v/>
      </c>
      <c r="N16" s="6">
        <f t="shared" ca="1" si="29"/>
        <v>0</v>
      </c>
      <c r="O16" s="6">
        <f t="shared" ca="1" si="30"/>
        <v>0</v>
      </c>
      <c r="P16" s="5">
        <v>0</v>
      </c>
      <c r="Q16" s="42">
        <v>1</v>
      </c>
      <c r="R16" s="42">
        <v>1</v>
      </c>
      <c r="S16" s="6">
        <v>0</v>
      </c>
      <c r="T16" s="6">
        <v>1</v>
      </c>
      <c r="U16" s="6">
        <v>1</v>
      </c>
      <c r="V16" s="6">
        <v>0</v>
      </c>
      <c r="W16" s="6">
        <v>1</v>
      </c>
      <c r="X16" s="6">
        <v>0</v>
      </c>
      <c r="Y16" s="6">
        <v>1</v>
      </c>
      <c r="Z16" s="6">
        <v>1</v>
      </c>
      <c r="AA16" s="6">
        <v>1</v>
      </c>
      <c r="AB16" s="6">
        <v>1</v>
      </c>
      <c r="AC16" s="6">
        <v>0</v>
      </c>
      <c r="AD16" s="7">
        <v>0</v>
      </c>
      <c r="AE16" s="5">
        <v>0</v>
      </c>
      <c r="AF16" s="6">
        <v>1</v>
      </c>
      <c r="AG16" s="6">
        <v>1</v>
      </c>
      <c r="AH16" s="6">
        <v>0</v>
      </c>
      <c r="AI16" s="6">
        <v>0</v>
      </c>
      <c r="AJ16" s="6">
        <v>0</v>
      </c>
      <c r="AK16" s="6">
        <v>1</v>
      </c>
      <c r="AL16" s="6">
        <v>1</v>
      </c>
      <c r="AM16" s="6">
        <v>1</v>
      </c>
      <c r="AN16" s="6">
        <v>0</v>
      </c>
      <c r="AO16" s="6">
        <v>1</v>
      </c>
      <c r="AP16" s="6">
        <v>0</v>
      </c>
      <c r="AQ16" s="6">
        <v>0</v>
      </c>
      <c r="AR16" s="6">
        <v>1</v>
      </c>
      <c r="AS16" s="7">
        <v>1</v>
      </c>
      <c r="AT16" s="5">
        <v>1</v>
      </c>
      <c r="AU16" s="6">
        <v>0</v>
      </c>
      <c r="AV16" s="6">
        <v>0</v>
      </c>
      <c r="AW16" s="6">
        <v>0</v>
      </c>
      <c r="AX16" s="6">
        <v>0</v>
      </c>
      <c r="AY16" s="49">
        <v>1</v>
      </c>
      <c r="AZ16" s="6">
        <v>0</v>
      </c>
      <c r="BA16" s="6">
        <v>1</v>
      </c>
      <c r="BB16" s="49">
        <v>1</v>
      </c>
      <c r="BC16" s="6">
        <v>0</v>
      </c>
      <c r="BD16" s="6">
        <v>1</v>
      </c>
      <c r="BE16" s="6">
        <v>0</v>
      </c>
      <c r="BF16" s="6">
        <v>0</v>
      </c>
      <c r="BG16" s="6">
        <v>0</v>
      </c>
      <c r="BH16" s="7">
        <v>0</v>
      </c>
      <c r="BI16" s="5">
        <v>0</v>
      </c>
      <c r="BJ16" s="49">
        <v>1</v>
      </c>
      <c r="BK16" s="6">
        <v>0</v>
      </c>
      <c r="BL16" s="49">
        <v>1</v>
      </c>
      <c r="BM16" s="6">
        <v>0</v>
      </c>
      <c r="BN16" s="6">
        <v>1</v>
      </c>
      <c r="BO16" s="49">
        <v>1</v>
      </c>
      <c r="BP16" s="6">
        <v>0</v>
      </c>
      <c r="BQ16" s="49">
        <v>1</v>
      </c>
      <c r="BR16" s="49">
        <v>1</v>
      </c>
      <c r="BS16" s="49">
        <v>1</v>
      </c>
      <c r="BT16" s="6">
        <v>0</v>
      </c>
      <c r="BU16" s="49">
        <v>1</v>
      </c>
      <c r="BV16" s="6">
        <v>1</v>
      </c>
      <c r="BW16" s="7">
        <v>0</v>
      </c>
    </row>
    <row r="17" spans="1:75" x14ac:dyDescent="0.3">
      <c r="A17" s="5">
        <f t="shared" ca="1" si="16"/>
        <v>0</v>
      </c>
      <c r="B17" s="6" t="str">
        <f t="shared" ca="1" si="17"/>
        <v/>
      </c>
      <c r="C17" s="6">
        <f t="shared" ca="1" si="18"/>
        <v>0</v>
      </c>
      <c r="D17" s="6">
        <f t="shared" ca="1" si="19"/>
        <v>0</v>
      </c>
      <c r="E17" s="6">
        <f t="shared" ca="1" si="20"/>
        <v>0</v>
      </c>
      <c r="F17" s="6" t="str">
        <f t="shared" ca="1" si="21"/>
        <v/>
      </c>
      <c r="G17" s="6">
        <f t="shared" ca="1" si="22"/>
        <v>0</v>
      </c>
      <c r="H17" s="6" t="str">
        <f t="shared" ca="1" si="23"/>
        <v/>
      </c>
      <c r="I17" s="6">
        <f t="shared" ca="1" si="24"/>
        <v>0</v>
      </c>
      <c r="J17" s="6">
        <f t="shared" ca="1" si="25"/>
        <v>0</v>
      </c>
      <c r="K17" s="6">
        <f t="shared" ca="1" si="26"/>
        <v>0</v>
      </c>
      <c r="L17" s="6">
        <f t="shared" ca="1" si="27"/>
        <v>0</v>
      </c>
      <c r="M17" s="6">
        <f t="shared" ca="1" si="28"/>
        <v>0</v>
      </c>
      <c r="N17" s="6">
        <f t="shared" ca="1" si="29"/>
        <v>0</v>
      </c>
      <c r="O17" s="6">
        <f t="shared" ca="1" si="30"/>
        <v>0</v>
      </c>
      <c r="P17" s="5">
        <v>0</v>
      </c>
      <c r="Q17" s="42">
        <v>1</v>
      </c>
      <c r="R17" s="6">
        <v>0</v>
      </c>
      <c r="S17" s="6">
        <v>0</v>
      </c>
      <c r="T17" s="6">
        <v>0</v>
      </c>
      <c r="U17" s="6">
        <v>1</v>
      </c>
      <c r="V17" s="6">
        <v>0</v>
      </c>
      <c r="W17" s="6">
        <v>1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7">
        <v>0</v>
      </c>
      <c r="AE17" s="5">
        <v>0</v>
      </c>
      <c r="AF17" s="6">
        <v>1</v>
      </c>
      <c r="AG17" s="6">
        <v>0</v>
      </c>
      <c r="AH17" s="6">
        <v>0</v>
      </c>
      <c r="AI17" s="6">
        <v>1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1</v>
      </c>
      <c r="AP17" s="6">
        <v>0</v>
      </c>
      <c r="AQ17" s="6">
        <v>1</v>
      </c>
      <c r="AR17" s="6">
        <v>1</v>
      </c>
      <c r="AS17" s="7">
        <v>0</v>
      </c>
      <c r="AT17" s="5">
        <v>0</v>
      </c>
      <c r="AU17" s="6">
        <v>1</v>
      </c>
      <c r="AV17" s="6">
        <v>1</v>
      </c>
      <c r="AW17" s="6">
        <v>1</v>
      </c>
      <c r="AX17" s="6">
        <v>0</v>
      </c>
      <c r="AY17" s="49">
        <v>1</v>
      </c>
      <c r="AZ17" s="6">
        <v>0</v>
      </c>
      <c r="BA17" s="6">
        <v>0</v>
      </c>
      <c r="BB17" s="49">
        <v>1</v>
      </c>
      <c r="BC17" s="49">
        <v>1</v>
      </c>
      <c r="BD17" s="49">
        <v>1</v>
      </c>
      <c r="BE17" s="49">
        <v>1</v>
      </c>
      <c r="BF17" s="49">
        <v>1</v>
      </c>
      <c r="BG17" s="49">
        <v>1</v>
      </c>
      <c r="BH17" s="50">
        <v>1</v>
      </c>
      <c r="BI17" s="51">
        <v>1</v>
      </c>
      <c r="BJ17" s="49">
        <v>1</v>
      </c>
      <c r="BK17" s="6">
        <v>0</v>
      </c>
      <c r="BL17" s="49">
        <v>1</v>
      </c>
      <c r="BM17" s="6">
        <v>0</v>
      </c>
      <c r="BN17" s="6">
        <v>0</v>
      </c>
      <c r="BO17" s="49">
        <v>1</v>
      </c>
      <c r="BP17" s="6">
        <v>0</v>
      </c>
      <c r="BQ17" s="6">
        <v>1</v>
      </c>
      <c r="BR17" s="6">
        <v>0</v>
      </c>
      <c r="BS17" s="6">
        <v>0</v>
      </c>
      <c r="BT17" s="6">
        <v>0</v>
      </c>
      <c r="BU17" s="49">
        <v>1</v>
      </c>
      <c r="BV17" s="6">
        <v>0</v>
      </c>
      <c r="BW17" s="7">
        <v>0</v>
      </c>
    </row>
    <row r="18" spans="1:75" x14ac:dyDescent="0.3">
      <c r="A18" s="5">
        <f t="shared" ca="1" si="16"/>
        <v>0</v>
      </c>
      <c r="B18" s="6" t="str">
        <f t="shared" ca="1" si="17"/>
        <v/>
      </c>
      <c r="C18" s="6" t="str">
        <f t="shared" ca="1" si="18"/>
        <v/>
      </c>
      <c r="D18" s="6" t="str">
        <f t="shared" ca="1" si="19"/>
        <v/>
      </c>
      <c r="E18" s="6" t="str">
        <f t="shared" ca="1" si="20"/>
        <v/>
      </c>
      <c r="F18" s="6" t="str">
        <f t="shared" ca="1" si="21"/>
        <v/>
      </c>
      <c r="G18" s="6" t="str">
        <f t="shared" ca="1" si="22"/>
        <v/>
      </c>
      <c r="H18" s="6" t="str">
        <f t="shared" ca="1" si="23"/>
        <v/>
      </c>
      <c r="I18" s="6" t="str">
        <f t="shared" ca="1" si="24"/>
        <v/>
      </c>
      <c r="J18" s="6" t="str">
        <f t="shared" ca="1" si="25"/>
        <v/>
      </c>
      <c r="K18" s="6" t="str">
        <f t="shared" ca="1" si="26"/>
        <v/>
      </c>
      <c r="L18" s="6">
        <f t="shared" ca="1" si="27"/>
        <v>0</v>
      </c>
      <c r="M18" s="6">
        <f t="shared" ca="1" si="28"/>
        <v>0</v>
      </c>
      <c r="N18" s="6" t="str">
        <f t="shared" ca="1" si="29"/>
        <v/>
      </c>
      <c r="O18" s="6" t="str">
        <f t="shared" ca="1" si="30"/>
        <v/>
      </c>
      <c r="P18" s="5">
        <v>0</v>
      </c>
      <c r="Q18" s="42">
        <v>1</v>
      </c>
      <c r="R18" s="42">
        <v>1</v>
      </c>
      <c r="S18" s="42">
        <v>1</v>
      </c>
      <c r="T18" s="42">
        <v>1</v>
      </c>
      <c r="U18" s="42">
        <v>1</v>
      </c>
      <c r="V18" s="42">
        <v>1</v>
      </c>
      <c r="W18" s="6">
        <v>1</v>
      </c>
      <c r="X18" s="6">
        <v>1</v>
      </c>
      <c r="Y18" s="6">
        <v>1</v>
      </c>
      <c r="Z18" s="6">
        <v>1</v>
      </c>
      <c r="AA18" s="6">
        <v>0</v>
      </c>
      <c r="AB18" s="6">
        <v>0</v>
      </c>
      <c r="AC18" s="6">
        <v>1</v>
      </c>
      <c r="AD18" s="7">
        <v>1</v>
      </c>
      <c r="AE18" s="5">
        <v>1</v>
      </c>
      <c r="AF18" s="6">
        <v>1</v>
      </c>
      <c r="AG18" s="6">
        <v>0</v>
      </c>
      <c r="AH18" s="6">
        <v>1</v>
      </c>
      <c r="AI18" s="6">
        <v>1</v>
      </c>
      <c r="AJ18" s="6">
        <v>1</v>
      </c>
      <c r="AK18" s="6">
        <v>1</v>
      </c>
      <c r="AL18" s="6">
        <v>1</v>
      </c>
      <c r="AM18" s="6">
        <v>1</v>
      </c>
      <c r="AN18" s="6">
        <v>1</v>
      </c>
      <c r="AO18" s="6">
        <v>1</v>
      </c>
      <c r="AP18" s="6">
        <v>0</v>
      </c>
      <c r="AQ18" s="6">
        <v>1</v>
      </c>
      <c r="AR18" s="6">
        <v>0</v>
      </c>
      <c r="AS18" s="7">
        <v>0</v>
      </c>
      <c r="AT18" s="5">
        <v>0</v>
      </c>
      <c r="AU18" s="6">
        <v>1</v>
      </c>
      <c r="AV18" s="6">
        <v>0</v>
      </c>
      <c r="AW18" s="6">
        <v>1</v>
      </c>
      <c r="AX18" s="6">
        <v>0</v>
      </c>
      <c r="AY18" s="49">
        <v>1</v>
      </c>
      <c r="AZ18" s="6">
        <v>0</v>
      </c>
      <c r="BA18" s="6">
        <v>0</v>
      </c>
      <c r="BB18" s="6">
        <v>0</v>
      </c>
      <c r="BC18" s="6">
        <v>0</v>
      </c>
      <c r="BD18" s="49">
        <v>1</v>
      </c>
      <c r="BE18" s="6">
        <v>0</v>
      </c>
      <c r="BF18" s="6">
        <v>0</v>
      </c>
      <c r="BG18" s="6">
        <v>0</v>
      </c>
      <c r="BH18" s="7">
        <v>0</v>
      </c>
      <c r="BI18" s="5">
        <v>0</v>
      </c>
      <c r="BJ18" s="6">
        <v>0</v>
      </c>
      <c r="BK18" s="6">
        <v>0</v>
      </c>
      <c r="BL18" s="49">
        <v>1</v>
      </c>
      <c r="BM18" s="6">
        <v>0</v>
      </c>
      <c r="BN18" s="6">
        <v>0</v>
      </c>
      <c r="BO18" s="49">
        <v>1</v>
      </c>
      <c r="BP18" s="6">
        <v>0</v>
      </c>
      <c r="BQ18" s="6">
        <v>0</v>
      </c>
      <c r="BR18" s="6">
        <v>0</v>
      </c>
      <c r="BS18" s="6">
        <v>1</v>
      </c>
      <c r="BT18" s="6">
        <v>1</v>
      </c>
      <c r="BU18" s="49">
        <v>1</v>
      </c>
      <c r="BV18" s="6">
        <v>0</v>
      </c>
      <c r="BW18" s="7">
        <v>0</v>
      </c>
    </row>
    <row r="19" spans="1:75" x14ac:dyDescent="0.3">
      <c r="A19" s="5">
        <f t="shared" ca="1" si="16"/>
        <v>0</v>
      </c>
      <c r="B19" s="6" t="str">
        <f t="shared" ca="1" si="17"/>
        <v/>
      </c>
      <c r="C19" s="6">
        <f t="shared" ca="1" si="18"/>
        <v>0</v>
      </c>
      <c r="D19" s="6">
        <f t="shared" ca="1" si="19"/>
        <v>0</v>
      </c>
      <c r="E19" s="6">
        <f t="shared" ca="1" si="20"/>
        <v>0</v>
      </c>
      <c r="F19" s="6">
        <f t="shared" ca="1" si="21"/>
        <v>0</v>
      </c>
      <c r="G19" s="6" t="str">
        <f t="shared" ca="1" si="22"/>
        <v/>
      </c>
      <c r="H19" s="6">
        <f t="shared" ca="1" si="23"/>
        <v>0</v>
      </c>
      <c r="I19" s="6">
        <f t="shared" ca="1" si="24"/>
        <v>0</v>
      </c>
      <c r="J19" s="6">
        <f t="shared" ca="1" si="25"/>
        <v>0</v>
      </c>
      <c r="K19" s="6" t="str">
        <f t="shared" ca="1" si="26"/>
        <v/>
      </c>
      <c r="L19" s="6">
        <f t="shared" ca="1" si="27"/>
        <v>0</v>
      </c>
      <c r="M19" s="6">
        <f t="shared" ca="1" si="28"/>
        <v>0</v>
      </c>
      <c r="N19" s="6" t="str">
        <f t="shared" ca="1" si="29"/>
        <v/>
      </c>
      <c r="O19" s="6">
        <f t="shared" ca="1" si="30"/>
        <v>0</v>
      </c>
      <c r="P19" s="5">
        <v>0</v>
      </c>
      <c r="Q19" s="6">
        <v>1</v>
      </c>
      <c r="R19" s="6">
        <v>0</v>
      </c>
      <c r="S19" s="6">
        <v>0</v>
      </c>
      <c r="T19" s="6">
        <v>0</v>
      </c>
      <c r="U19" s="6">
        <v>0</v>
      </c>
      <c r="V19" s="42">
        <v>1</v>
      </c>
      <c r="W19" s="6">
        <v>0</v>
      </c>
      <c r="X19" s="6">
        <v>0</v>
      </c>
      <c r="Y19" s="6">
        <v>0</v>
      </c>
      <c r="Z19" s="6">
        <v>1</v>
      </c>
      <c r="AA19" s="6">
        <v>0</v>
      </c>
      <c r="AB19" s="6">
        <v>0</v>
      </c>
      <c r="AC19" s="6">
        <v>1</v>
      </c>
      <c r="AD19" s="7">
        <v>0</v>
      </c>
      <c r="AE19" s="5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1</v>
      </c>
      <c r="AM19" s="6">
        <v>0</v>
      </c>
      <c r="AN19" s="6">
        <v>1</v>
      </c>
      <c r="AO19" s="6">
        <v>0</v>
      </c>
      <c r="AP19" s="6">
        <v>0</v>
      </c>
      <c r="AQ19" s="6">
        <v>1</v>
      </c>
      <c r="AR19" s="6">
        <v>0</v>
      </c>
      <c r="AS19" s="7">
        <v>0</v>
      </c>
      <c r="AT19" s="5">
        <v>0</v>
      </c>
      <c r="AU19" s="6">
        <v>1</v>
      </c>
      <c r="AV19" s="6">
        <v>0</v>
      </c>
      <c r="AW19" s="6">
        <v>1</v>
      </c>
      <c r="AX19" s="6">
        <v>0</v>
      </c>
      <c r="AY19" s="49">
        <v>1</v>
      </c>
      <c r="AZ19" s="49">
        <v>1</v>
      </c>
      <c r="BA19" s="49">
        <v>1</v>
      </c>
      <c r="BB19" s="6">
        <v>0</v>
      </c>
      <c r="BC19" s="6">
        <v>1</v>
      </c>
      <c r="BD19" s="6">
        <v>1</v>
      </c>
      <c r="BE19" s="6">
        <v>1</v>
      </c>
      <c r="BF19" s="6">
        <v>1</v>
      </c>
      <c r="BG19" s="6">
        <v>0</v>
      </c>
      <c r="BH19" s="7">
        <v>1</v>
      </c>
      <c r="BI19" s="5">
        <v>1</v>
      </c>
      <c r="BJ19" s="6">
        <v>1</v>
      </c>
      <c r="BK19" s="6">
        <v>1</v>
      </c>
      <c r="BL19" s="49">
        <v>1</v>
      </c>
      <c r="BM19" s="49">
        <v>1</v>
      </c>
      <c r="BN19" s="49">
        <v>1</v>
      </c>
      <c r="BO19" s="49">
        <v>1</v>
      </c>
      <c r="BP19" s="6">
        <v>0</v>
      </c>
      <c r="BQ19" s="6">
        <v>1</v>
      </c>
      <c r="BR19" s="6">
        <v>1</v>
      </c>
      <c r="BS19" s="6">
        <v>1</v>
      </c>
      <c r="BT19" s="6">
        <v>0</v>
      </c>
      <c r="BU19" s="49">
        <v>1</v>
      </c>
      <c r="BV19" s="6">
        <v>0</v>
      </c>
      <c r="BW19" s="7">
        <v>0</v>
      </c>
    </row>
    <row r="20" spans="1:75" x14ac:dyDescent="0.3">
      <c r="A20" s="5">
        <f t="shared" ca="1" si="16"/>
        <v>0</v>
      </c>
      <c r="B20" s="6">
        <f t="shared" ca="1" si="17"/>
        <v>0</v>
      </c>
      <c r="C20" s="6">
        <f t="shared" ca="1" si="18"/>
        <v>0</v>
      </c>
      <c r="D20" s="6" t="str">
        <f t="shared" ca="1" si="19"/>
        <v/>
      </c>
      <c r="E20" s="6" t="str">
        <f t="shared" ca="1" si="20"/>
        <v/>
      </c>
      <c r="F20" s="6">
        <f t="shared" ca="1" si="21"/>
        <v>0</v>
      </c>
      <c r="G20" s="6" t="str">
        <f t="shared" ca="1" si="22"/>
        <v/>
      </c>
      <c r="H20" s="6">
        <f t="shared" ca="1" si="23"/>
        <v>0</v>
      </c>
      <c r="I20" s="6" t="str">
        <f t="shared" ca="1" si="24"/>
        <v/>
      </c>
      <c r="J20" s="6" t="str">
        <f t="shared" ca="1" si="25"/>
        <v/>
      </c>
      <c r="K20" s="6" t="str">
        <f t="shared" ca="1" si="26"/>
        <v/>
      </c>
      <c r="L20" s="6">
        <f t="shared" ca="1" si="27"/>
        <v>0</v>
      </c>
      <c r="M20" s="6" t="str">
        <f t="shared" ca="1" si="28"/>
        <v/>
      </c>
      <c r="N20" s="6" t="str">
        <f t="shared" ca="1" si="29"/>
        <v/>
      </c>
      <c r="O20" s="6">
        <f t="shared" ca="1" si="30"/>
        <v>0</v>
      </c>
      <c r="P20" s="5">
        <v>0</v>
      </c>
      <c r="Q20" s="6">
        <v>0</v>
      </c>
      <c r="R20" s="6">
        <v>0</v>
      </c>
      <c r="S20" s="6">
        <v>1</v>
      </c>
      <c r="T20" s="6">
        <v>1</v>
      </c>
      <c r="U20" s="6">
        <v>0</v>
      </c>
      <c r="V20" s="42">
        <v>1</v>
      </c>
      <c r="W20" s="6">
        <v>0</v>
      </c>
      <c r="X20" s="6">
        <v>1</v>
      </c>
      <c r="Y20" s="6">
        <v>1</v>
      </c>
      <c r="Z20" s="6">
        <v>1</v>
      </c>
      <c r="AA20" s="6">
        <v>0</v>
      </c>
      <c r="AB20" s="6">
        <v>1</v>
      </c>
      <c r="AC20" s="6">
        <v>1</v>
      </c>
      <c r="AD20" s="7">
        <v>0</v>
      </c>
      <c r="AE20" s="5">
        <v>0</v>
      </c>
      <c r="AF20" s="6">
        <v>1</v>
      </c>
      <c r="AG20" s="6">
        <v>0</v>
      </c>
      <c r="AH20" s="6">
        <v>1</v>
      </c>
      <c r="AI20" s="6">
        <v>1</v>
      </c>
      <c r="AJ20" s="6">
        <v>1</v>
      </c>
      <c r="AK20" s="6">
        <v>0</v>
      </c>
      <c r="AL20" s="6">
        <v>1</v>
      </c>
      <c r="AM20" s="6">
        <v>0</v>
      </c>
      <c r="AN20" s="6">
        <v>1</v>
      </c>
      <c r="AO20" s="6">
        <v>0</v>
      </c>
      <c r="AP20" s="6">
        <v>1</v>
      </c>
      <c r="AQ20" s="6">
        <v>1</v>
      </c>
      <c r="AR20" s="6">
        <v>0</v>
      </c>
      <c r="AS20" s="7">
        <v>1</v>
      </c>
      <c r="AT20" s="5">
        <v>1</v>
      </c>
      <c r="AU20" s="6">
        <v>1</v>
      </c>
      <c r="AV20" s="6">
        <v>0</v>
      </c>
      <c r="AW20" s="6">
        <v>1</v>
      </c>
      <c r="AX20" s="6">
        <v>0</v>
      </c>
      <c r="AY20" s="6">
        <v>0</v>
      </c>
      <c r="AZ20" s="6">
        <v>0</v>
      </c>
      <c r="BA20" s="49">
        <v>1</v>
      </c>
      <c r="BB20" s="6">
        <v>0</v>
      </c>
      <c r="BC20" s="6">
        <v>0</v>
      </c>
      <c r="BD20" s="6">
        <v>0</v>
      </c>
      <c r="BE20" s="6">
        <v>0</v>
      </c>
      <c r="BF20" s="6">
        <v>1</v>
      </c>
      <c r="BG20" s="6">
        <v>0</v>
      </c>
      <c r="BH20" s="7">
        <v>0</v>
      </c>
      <c r="BI20" s="5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49">
        <v>1</v>
      </c>
      <c r="BV20" s="6">
        <v>0</v>
      </c>
      <c r="BW20" s="7">
        <v>0</v>
      </c>
    </row>
    <row r="21" spans="1:75" x14ac:dyDescent="0.3">
      <c r="A21" s="5">
        <f t="shared" ca="1" si="16"/>
        <v>0</v>
      </c>
      <c r="B21" s="6" t="str">
        <f t="shared" ca="1" si="17"/>
        <v/>
      </c>
      <c r="C21" s="6">
        <f t="shared" ca="1" si="18"/>
        <v>0</v>
      </c>
      <c r="D21" s="6">
        <f t="shared" ca="1" si="19"/>
        <v>0</v>
      </c>
      <c r="E21" s="6" t="str">
        <f t="shared" ca="1" si="20"/>
        <v/>
      </c>
      <c r="F21" s="6">
        <f t="shared" ca="1" si="21"/>
        <v>0</v>
      </c>
      <c r="G21" s="6" t="str">
        <f t="shared" ca="1" si="22"/>
        <v/>
      </c>
      <c r="H21" s="6">
        <f t="shared" ca="1" si="23"/>
        <v>0</v>
      </c>
      <c r="I21" s="6">
        <f t="shared" ca="1" si="24"/>
        <v>0</v>
      </c>
      <c r="J21" s="6">
        <f t="shared" ca="1" si="25"/>
        <v>0</v>
      </c>
      <c r="K21" s="6">
        <f t="shared" ca="1" si="26"/>
        <v>0</v>
      </c>
      <c r="L21" s="6">
        <f t="shared" ca="1" si="27"/>
        <v>0</v>
      </c>
      <c r="M21" s="6" t="str">
        <f t="shared" ca="1" si="28"/>
        <v/>
      </c>
      <c r="N21" s="6">
        <f t="shared" ca="1" si="29"/>
        <v>0</v>
      </c>
      <c r="O21" s="6">
        <f t="shared" ca="1" si="30"/>
        <v>0</v>
      </c>
      <c r="P21" s="5">
        <v>0</v>
      </c>
      <c r="Q21" s="6">
        <v>1</v>
      </c>
      <c r="R21" s="6">
        <v>0</v>
      </c>
      <c r="S21" s="6">
        <v>0</v>
      </c>
      <c r="T21" s="6">
        <v>1</v>
      </c>
      <c r="U21" s="6">
        <v>0</v>
      </c>
      <c r="V21" s="42">
        <v>1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1</v>
      </c>
      <c r="AC21" s="6">
        <v>0</v>
      </c>
      <c r="AD21" s="7">
        <v>0</v>
      </c>
      <c r="AE21" s="5">
        <v>0</v>
      </c>
      <c r="AF21" s="6">
        <v>1</v>
      </c>
      <c r="AG21" s="6">
        <v>0</v>
      </c>
      <c r="AH21" s="6">
        <v>1</v>
      </c>
      <c r="AI21" s="6">
        <v>0</v>
      </c>
      <c r="AJ21" s="6">
        <v>1</v>
      </c>
      <c r="AK21" s="6">
        <v>0</v>
      </c>
      <c r="AL21" s="6">
        <v>1</v>
      </c>
      <c r="AM21" s="6">
        <v>0</v>
      </c>
      <c r="AN21" s="6">
        <v>1</v>
      </c>
      <c r="AO21" s="6">
        <v>1</v>
      </c>
      <c r="AP21" s="6">
        <v>1</v>
      </c>
      <c r="AQ21" s="6">
        <v>1</v>
      </c>
      <c r="AR21" s="6">
        <v>0</v>
      </c>
      <c r="AS21" s="7">
        <v>0</v>
      </c>
      <c r="AT21" s="5">
        <v>0</v>
      </c>
      <c r="AU21" s="6">
        <v>1</v>
      </c>
      <c r="AV21" s="6">
        <v>0</v>
      </c>
      <c r="AW21" s="6">
        <v>1</v>
      </c>
      <c r="AX21" s="6">
        <v>1</v>
      </c>
      <c r="AY21" s="6">
        <v>1</v>
      </c>
      <c r="AZ21" s="6">
        <v>0</v>
      </c>
      <c r="BA21" s="49">
        <v>1</v>
      </c>
      <c r="BB21" s="49">
        <v>1</v>
      </c>
      <c r="BC21" s="49">
        <v>1</v>
      </c>
      <c r="BD21" s="49">
        <v>1</v>
      </c>
      <c r="BE21" s="6">
        <v>0</v>
      </c>
      <c r="BF21" s="6">
        <v>1</v>
      </c>
      <c r="BG21" s="6">
        <v>1</v>
      </c>
      <c r="BH21" s="7">
        <v>1</v>
      </c>
      <c r="BI21" s="5">
        <v>1</v>
      </c>
      <c r="BJ21" s="6">
        <v>1</v>
      </c>
      <c r="BK21" s="6">
        <v>1</v>
      </c>
      <c r="BL21" s="6">
        <v>1</v>
      </c>
      <c r="BM21" s="6">
        <v>1</v>
      </c>
      <c r="BN21" s="6">
        <v>1</v>
      </c>
      <c r="BO21" s="6">
        <v>1</v>
      </c>
      <c r="BP21" s="6">
        <v>1</v>
      </c>
      <c r="BQ21" s="6">
        <v>1</v>
      </c>
      <c r="BR21" s="6">
        <v>0</v>
      </c>
      <c r="BS21" s="6">
        <v>0</v>
      </c>
      <c r="BT21" s="6">
        <v>1</v>
      </c>
      <c r="BU21" s="49">
        <v>1</v>
      </c>
      <c r="BV21" s="49">
        <v>1</v>
      </c>
      <c r="BW21" s="7">
        <v>0</v>
      </c>
    </row>
    <row r="22" spans="1:75" x14ac:dyDescent="0.3">
      <c r="A22" s="5">
        <f t="shared" ca="1" si="16"/>
        <v>0</v>
      </c>
      <c r="B22" s="6" t="str">
        <f t="shared" ca="1" si="17"/>
        <v/>
      </c>
      <c r="C22" s="6" t="str">
        <f t="shared" ca="1" si="18"/>
        <v/>
      </c>
      <c r="D22" s="6" t="str">
        <f t="shared" ca="1" si="19"/>
        <v/>
      </c>
      <c r="E22" s="6" t="str">
        <f t="shared" ca="1" si="20"/>
        <v/>
      </c>
      <c r="F22" s="6" t="str">
        <f t="shared" ca="1" si="21"/>
        <v/>
      </c>
      <c r="G22" s="6" t="str">
        <f t="shared" ca="1" si="22"/>
        <v/>
      </c>
      <c r="H22" s="6">
        <f t="shared" ca="1" si="23"/>
        <v>0</v>
      </c>
      <c r="I22" s="6" t="str">
        <f t="shared" ca="1" si="24"/>
        <v/>
      </c>
      <c r="J22" s="6" t="str">
        <f t="shared" ca="1" si="25"/>
        <v/>
      </c>
      <c r="K22" s="6" t="str">
        <f t="shared" ca="1" si="26"/>
        <v/>
      </c>
      <c r="L22" s="6">
        <f t="shared" ca="1" si="27"/>
        <v>0</v>
      </c>
      <c r="M22" s="6" t="str">
        <f t="shared" ca="1" si="28"/>
        <v/>
      </c>
      <c r="N22" s="6" t="str">
        <f t="shared" ca="1" si="29"/>
        <v/>
      </c>
      <c r="O22" s="6" t="str">
        <f t="shared" ca="1" si="30"/>
        <v/>
      </c>
      <c r="P22" s="5">
        <v>0</v>
      </c>
      <c r="Q22" s="6">
        <v>1</v>
      </c>
      <c r="R22" s="6">
        <v>1</v>
      </c>
      <c r="S22" s="6">
        <v>1</v>
      </c>
      <c r="T22" s="6">
        <v>1</v>
      </c>
      <c r="U22" s="42">
        <v>1</v>
      </c>
      <c r="V22" s="42">
        <v>1</v>
      </c>
      <c r="W22" s="6">
        <v>0</v>
      </c>
      <c r="X22" s="6">
        <v>1</v>
      </c>
      <c r="Y22" s="6">
        <v>1</v>
      </c>
      <c r="Z22" s="6">
        <v>1</v>
      </c>
      <c r="AA22" s="6">
        <v>0</v>
      </c>
      <c r="AB22" s="6">
        <v>1</v>
      </c>
      <c r="AC22" s="6">
        <v>1</v>
      </c>
      <c r="AD22" s="7">
        <v>1</v>
      </c>
      <c r="AE22" s="5">
        <v>1</v>
      </c>
      <c r="AF22" s="6">
        <v>1</v>
      </c>
      <c r="AG22" s="6">
        <v>0</v>
      </c>
      <c r="AH22" s="6">
        <v>1</v>
      </c>
      <c r="AI22" s="6">
        <v>0</v>
      </c>
      <c r="AJ22" s="6">
        <v>1</v>
      </c>
      <c r="AK22" s="6">
        <v>0</v>
      </c>
      <c r="AL22" s="6">
        <v>1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7">
        <v>0</v>
      </c>
      <c r="AT22" s="5">
        <v>0</v>
      </c>
      <c r="AU22" s="6">
        <v>1</v>
      </c>
      <c r="AV22" s="6">
        <v>0</v>
      </c>
      <c r="AW22" s="6">
        <v>0</v>
      </c>
      <c r="AX22" s="6">
        <v>0</v>
      </c>
      <c r="AY22" s="6">
        <v>1</v>
      </c>
      <c r="AZ22" s="6">
        <v>0</v>
      </c>
      <c r="BA22" s="6">
        <v>0</v>
      </c>
      <c r="BB22" s="6">
        <v>0</v>
      </c>
      <c r="BC22" s="6">
        <v>0</v>
      </c>
      <c r="BD22" s="49">
        <v>1</v>
      </c>
      <c r="BE22" s="6">
        <v>0</v>
      </c>
      <c r="BF22" s="6">
        <v>0</v>
      </c>
      <c r="BG22" s="6">
        <v>0</v>
      </c>
      <c r="BH22" s="7">
        <v>0</v>
      </c>
      <c r="BI22" s="5">
        <v>0</v>
      </c>
      <c r="BJ22" s="6">
        <v>1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1</v>
      </c>
      <c r="BR22" s="6">
        <v>0</v>
      </c>
      <c r="BS22" s="6">
        <v>0</v>
      </c>
      <c r="BT22" s="6">
        <v>0</v>
      </c>
      <c r="BU22" s="6">
        <v>0</v>
      </c>
      <c r="BV22" s="49">
        <v>1</v>
      </c>
      <c r="BW22" s="7">
        <v>0</v>
      </c>
    </row>
    <row r="23" spans="1:75" x14ac:dyDescent="0.3">
      <c r="A23" s="5">
        <f t="shared" ca="1" si="16"/>
        <v>0</v>
      </c>
      <c r="B23" s="6" t="str">
        <f t="shared" ca="1" si="17"/>
        <v/>
      </c>
      <c r="C23" s="6">
        <f t="shared" ca="1" si="18"/>
        <v>0</v>
      </c>
      <c r="D23" s="6" t="str">
        <f t="shared" ca="1" si="19"/>
        <v/>
      </c>
      <c r="E23" s="6">
        <f t="shared" ca="1" si="20"/>
        <v>0</v>
      </c>
      <c r="F23" s="6" t="str">
        <f t="shared" ca="1" si="21"/>
        <v/>
      </c>
      <c r="G23" s="6">
        <f t="shared" ca="1" si="22"/>
        <v>0</v>
      </c>
      <c r="H23" s="6">
        <f t="shared" ca="1" si="23"/>
        <v>0</v>
      </c>
      <c r="I23" s="6" t="str">
        <f t="shared" ca="1" si="24"/>
        <v/>
      </c>
      <c r="J23" s="6">
        <f t="shared" ca="1" si="25"/>
        <v>0</v>
      </c>
      <c r="K23" s="6" t="str">
        <f t="shared" ca="1" si="26"/>
        <v/>
      </c>
      <c r="L23" s="6">
        <f t="shared" ca="1" si="27"/>
        <v>0</v>
      </c>
      <c r="M23" s="6">
        <f t="shared" ca="1" si="28"/>
        <v>0</v>
      </c>
      <c r="N23" s="6" t="str">
        <f t="shared" ca="1" si="29"/>
        <v/>
      </c>
      <c r="O23" s="6">
        <f t="shared" ca="1" si="30"/>
        <v>0</v>
      </c>
      <c r="P23" s="5">
        <v>0</v>
      </c>
      <c r="Q23" s="6">
        <v>1</v>
      </c>
      <c r="R23" s="6">
        <v>0</v>
      </c>
      <c r="S23" s="6">
        <v>1</v>
      </c>
      <c r="T23" s="6">
        <v>0</v>
      </c>
      <c r="U23" s="42">
        <v>1</v>
      </c>
      <c r="V23" s="6">
        <v>0</v>
      </c>
      <c r="W23" s="6">
        <v>0</v>
      </c>
      <c r="X23" s="6">
        <v>1</v>
      </c>
      <c r="Y23" s="6">
        <v>0</v>
      </c>
      <c r="Z23" s="6">
        <v>1</v>
      </c>
      <c r="AA23" s="6">
        <v>0</v>
      </c>
      <c r="AB23" s="6">
        <v>0</v>
      </c>
      <c r="AC23" s="6">
        <v>1</v>
      </c>
      <c r="AD23" s="7">
        <v>0</v>
      </c>
      <c r="AE23" s="5">
        <v>0</v>
      </c>
      <c r="AF23" s="6">
        <v>0</v>
      </c>
      <c r="AG23" s="6">
        <v>0</v>
      </c>
      <c r="AH23" s="6">
        <v>1</v>
      </c>
      <c r="AI23" s="6">
        <v>0</v>
      </c>
      <c r="AJ23" s="6">
        <v>1</v>
      </c>
      <c r="AK23" s="6">
        <v>1</v>
      </c>
      <c r="AL23" s="6">
        <v>1</v>
      </c>
      <c r="AM23" s="6">
        <v>0</v>
      </c>
      <c r="AN23" s="6">
        <v>1</v>
      </c>
      <c r="AO23" s="6">
        <v>1</v>
      </c>
      <c r="AP23" s="6">
        <v>1</v>
      </c>
      <c r="AQ23" s="6">
        <v>1</v>
      </c>
      <c r="AR23" s="6">
        <v>1</v>
      </c>
      <c r="AS23" s="7">
        <v>1</v>
      </c>
      <c r="AT23" s="5">
        <v>1</v>
      </c>
      <c r="AU23" s="6">
        <v>1</v>
      </c>
      <c r="AV23" s="6">
        <v>0</v>
      </c>
      <c r="AW23" s="6">
        <v>1</v>
      </c>
      <c r="AX23" s="6">
        <v>1</v>
      </c>
      <c r="AY23" s="6">
        <v>1</v>
      </c>
      <c r="AZ23" s="6">
        <v>1</v>
      </c>
      <c r="BA23" s="6">
        <v>1</v>
      </c>
      <c r="BB23" s="6">
        <v>1</v>
      </c>
      <c r="BC23" s="6">
        <v>0</v>
      </c>
      <c r="BD23" s="49">
        <v>1</v>
      </c>
      <c r="BE23" s="49">
        <v>1</v>
      </c>
      <c r="BF23" s="49">
        <v>1</v>
      </c>
      <c r="BG23" s="6">
        <v>1</v>
      </c>
      <c r="BH23" s="7">
        <v>0</v>
      </c>
      <c r="BI23" s="5">
        <v>0</v>
      </c>
      <c r="BJ23" s="6">
        <v>1</v>
      </c>
      <c r="BK23" s="6">
        <v>0</v>
      </c>
      <c r="BL23" s="6">
        <v>1</v>
      </c>
      <c r="BM23" s="6">
        <v>1</v>
      </c>
      <c r="BN23" s="6">
        <v>1</v>
      </c>
      <c r="BO23" s="6">
        <v>1</v>
      </c>
      <c r="BP23" s="6">
        <v>0</v>
      </c>
      <c r="BQ23" s="6">
        <v>1</v>
      </c>
      <c r="BR23" s="6">
        <v>1</v>
      </c>
      <c r="BS23" s="6">
        <v>1</v>
      </c>
      <c r="BT23" s="6">
        <v>1</v>
      </c>
      <c r="BU23" s="6">
        <v>0</v>
      </c>
      <c r="BV23" s="49">
        <v>1</v>
      </c>
      <c r="BW23" s="7">
        <v>0</v>
      </c>
    </row>
    <row r="24" spans="1:75" ht="15" thickBot="1" x14ac:dyDescent="0.35">
      <c r="A24" s="8">
        <f t="shared" ca="1" si="16"/>
        <v>0</v>
      </c>
      <c r="B24" s="9" t="str">
        <f t="shared" ca="1" si="17"/>
        <v/>
      </c>
      <c r="C24" s="9">
        <f t="shared" ca="1" si="18"/>
        <v>0</v>
      </c>
      <c r="D24" s="9">
        <f t="shared" ca="1" si="19"/>
        <v>0</v>
      </c>
      <c r="E24" s="9">
        <f t="shared" ca="1" si="20"/>
        <v>0</v>
      </c>
      <c r="F24" s="9" t="str">
        <f t="shared" ca="1" si="21"/>
        <v/>
      </c>
      <c r="G24" s="9">
        <f t="shared" ca="1" si="22"/>
        <v>0</v>
      </c>
      <c r="H24" s="9">
        <f t="shared" ca="1" si="23"/>
        <v>0</v>
      </c>
      <c r="I24" s="9" t="str">
        <f t="shared" ca="1" si="24"/>
        <v/>
      </c>
      <c r="J24" s="9">
        <f t="shared" ca="1" si="25"/>
        <v>0</v>
      </c>
      <c r="K24" s="9" t="str">
        <f t="shared" ca="1" si="26"/>
        <v/>
      </c>
      <c r="L24" s="9">
        <f t="shared" ca="1" si="27"/>
        <v>0</v>
      </c>
      <c r="M24" s="9">
        <f t="shared" ca="1" si="28"/>
        <v>0</v>
      </c>
      <c r="N24" s="9" t="str">
        <f t="shared" ca="1" si="29"/>
        <v/>
      </c>
      <c r="O24" s="9">
        <f t="shared" ca="1" si="30"/>
        <v>0</v>
      </c>
      <c r="P24" s="8">
        <v>0</v>
      </c>
      <c r="Q24" s="9">
        <v>1</v>
      </c>
      <c r="R24" s="9">
        <v>0</v>
      </c>
      <c r="S24" s="9">
        <v>0</v>
      </c>
      <c r="T24" s="9">
        <v>0</v>
      </c>
      <c r="U24" s="43">
        <v>1</v>
      </c>
      <c r="V24" s="9">
        <v>0</v>
      </c>
      <c r="W24" s="9">
        <v>0</v>
      </c>
      <c r="X24" s="9">
        <v>1</v>
      </c>
      <c r="Y24" s="9">
        <v>0</v>
      </c>
      <c r="Z24" s="9">
        <v>1</v>
      </c>
      <c r="AA24" s="9">
        <v>0</v>
      </c>
      <c r="AB24" s="9">
        <v>0</v>
      </c>
      <c r="AC24" s="9">
        <v>1</v>
      </c>
      <c r="AD24" s="10">
        <v>0</v>
      </c>
      <c r="AE24" s="8">
        <v>0</v>
      </c>
      <c r="AF24" s="9">
        <v>1</v>
      </c>
      <c r="AG24" s="9">
        <v>0</v>
      </c>
      <c r="AH24" s="9">
        <v>1</v>
      </c>
      <c r="AI24" s="9">
        <v>0</v>
      </c>
      <c r="AJ24" s="9">
        <v>0</v>
      </c>
      <c r="AK24" s="9">
        <v>0</v>
      </c>
      <c r="AL24" s="9">
        <v>1</v>
      </c>
      <c r="AM24" s="9">
        <v>0</v>
      </c>
      <c r="AN24" s="9">
        <v>1</v>
      </c>
      <c r="AO24" s="9">
        <v>0</v>
      </c>
      <c r="AP24" s="9">
        <v>0</v>
      </c>
      <c r="AQ24" s="9">
        <v>0</v>
      </c>
      <c r="AR24" s="9">
        <v>0</v>
      </c>
      <c r="AS24" s="10">
        <v>0</v>
      </c>
      <c r="AT24" s="8">
        <v>0</v>
      </c>
      <c r="AU24" s="9">
        <v>1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</v>
      </c>
      <c r="BB24" s="9">
        <v>0</v>
      </c>
      <c r="BC24" s="9">
        <v>0</v>
      </c>
      <c r="BD24" s="9">
        <v>0</v>
      </c>
      <c r="BE24" s="9">
        <v>0</v>
      </c>
      <c r="BF24" s="52">
        <v>1</v>
      </c>
      <c r="BG24" s="9">
        <v>0</v>
      </c>
      <c r="BH24" s="10">
        <v>0</v>
      </c>
      <c r="BI24" s="8">
        <v>0</v>
      </c>
      <c r="BJ24" s="9">
        <v>1</v>
      </c>
      <c r="BK24" s="9">
        <v>0</v>
      </c>
      <c r="BL24" s="9">
        <v>1</v>
      </c>
      <c r="BM24" s="9">
        <v>0</v>
      </c>
      <c r="BN24" s="9">
        <v>0</v>
      </c>
      <c r="BO24" s="9">
        <v>1</v>
      </c>
      <c r="BP24" s="9">
        <v>0</v>
      </c>
      <c r="BQ24" s="9">
        <v>0</v>
      </c>
      <c r="BR24" s="9">
        <v>0</v>
      </c>
      <c r="BS24" s="9">
        <v>0</v>
      </c>
      <c r="BT24" s="9">
        <v>1</v>
      </c>
      <c r="BU24" s="9">
        <v>0</v>
      </c>
      <c r="BV24" s="52">
        <v>1</v>
      </c>
      <c r="BW24" s="10">
        <v>0</v>
      </c>
    </row>
    <row r="25" spans="1:75" x14ac:dyDescent="0.3">
      <c r="P25" s="2">
        <v>0</v>
      </c>
      <c r="Q25" s="3">
        <v>1</v>
      </c>
      <c r="R25" s="3">
        <v>0</v>
      </c>
      <c r="S25" s="3">
        <v>0</v>
      </c>
      <c r="T25" s="3">
        <v>0</v>
      </c>
      <c r="U25" s="44">
        <v>1</v>
      </c>
      <c r="V25" s="3">
        <v>0</v>
      </c>
      <c r="W25" s="3">
        <v>0</v>
      </c>
      <c r="X25" s="3">
        <v>1</v>
      </c>
      <c r="Y25" s="3">
        <v>0</v>
      </c>
      <c r="Z25" s="3">
        <v>1</v>
      </c>
      <c r="AA25" s="3">
        <v>1</v>
      </c>
      <c r="AB25" s="3">
        <v>1</v>
      </c>
      <c r="AC25" s="3">
        <v>1</v>
      </c>
      <c r="AD25" s="4">
        <v>0</v>
      </c>
      <c r="AE25" s="2">
        <v>0</v>
      </c>
      <c r="AF25" s="3">
        <v>1</v>
      </c>
      <c r="AG25" s="3">
        <v>0</v>
      </c>
      <c r="AH25" s="3">
        <v>1</v>
      </c>
      <c r="AI25" s="3">
        <v>0</v>
      </c>
      <c r="AJ25" s="3">
        <v>0</v>
      </c>
      <c r="AK25" s="3">
        <v>0</v>
      </c>
      <c r="AL25" s="3">
        <v>1</v>
      </c>
      <c r="AM25" s="3">
        <v>0</v>
      </c>
      <c r="AN25" s="3">
        <v>1</v>
      </c>
      <c r="AO25" s="3">
        <v>0</v>
      </c>
      <c r="AP25" s="3">
        <v>0</v>
      </c>
      <c r="AQ25" s="3">
        <v>0</v>
      </c>
      <c r="AR25" s="3">
        <v>0</v>
      </c>
      <c r="AS25" s="4">
        <v>0</v>
      </c>
      <c r="AT25" s="2">
        <v>0</v>
      </c>
      <c r="AU25" s="3">
        <v>1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1</v>
      </c>
      <c r="BB25" s="3">
        <v>0</v>
      </c>
      <c r="BC25" s="3">
        <v>1</v>
      </c>
      <c r="BD25" s="3">
        <v>1</v>
      </c>
      <c r="BE25" s="3">
        <v>0</v>
      </c>
      <c r="BF25" s="53">
        <v>1</v>
      </c>
      <c r="BG25" s="3">
        <v>0</v>
      </c>
      <c r="BH25" s="4">
        <v>0</v>
      </c>
      <c r="BI25" s="2">
        <v>0</v>
      </c>
      <c r="BJ25" s="3">
        <v>1</v>
      </c>
      <c r="BK25" s="3">
        <v>0</v>
      </c>
      <c r="BL25" s="3">
        <v>1</v>
      </c>
      <c r="BM25" s="3">
        <v>0</v>
      </c>
      <c r="BN25" s="3">
        <v>0</v>
      </c>
      <c r="BO25" s="3">
        <v>1</v>
      </c>
      <c r="BP25" s="3">
        <v>0</v>
      </c>
      <c r="BQ25" s="3">
        <v>0</v>
      </c>
      <c r="BR25" s="3">
        <v>0</v>
      </c>
      <c r="BS25" s="3">
        <v>0</v>
      </c>
      <c r="BT25" s="3">
        <v>1</v>
      </c>
      <c r="BU25" s="3">
        <v>0</v>
      </c>
      <c r="BV25" s="53">
        <v>1</v>
      </c>
      <c r="BW25" s="4">
        <v>0</v>
      </c>
    </row>
    <row r="26" spans="1:75" x14ac:dyDescent="0.3">
      <c r="P26" s="5">
        <v>0</v>
      </c>
      <c r="Q26" s="6">
        <v>1</v>
      </c>
      <c r="R26" s="6">
        <v>0</v>
      </c>
      <c r="S26" s="6">
        <v>1</v>
      </c>
      <c r="T26" s="6">
        <v>1</v>
      </c>
      <c r="U26" s="42">
        <v>1</v>
      </c>
      <c r="V26" s="42">
        <v>1</v>
      </c>
      <c r="W26" s="42">
        <v>1</v>
      </c>
      <c r="X26" s="42">
        <v>1</v>
      </c>
      <c r="Y26" s="6">
        <v>0</v>
      </c>
      <c r="Z26" s="6">
        <v>1</v>
      </c>
      <c r="AA26" s="6">
        <v>0</v>
      </c>
      <c r="AB26" s="6">
        <v>0</v>
      </c>
      <c r="AC26" s="6">
        <v>1</v>
      </c>
      <c r="AD26" s="7">
        <v>1</v>
      </c>
      <c r="AE26" s="5">
        <v>1</v>
      </c>
      <c r="AF26" s="6">
        <v>1</v>
      </c>
      <c r="AG26" s="6">
        <v>0</v>
      </c>
      <c r="AH26" s="6">
        <v>1</v>
      </c>
      <c r="AI26" s="6">
        <v>0</v>
      </c>
      <c r="AJ26" s="6">
        <v>0</v>
      </c>
      <c r="AK26" s="6">
        <v>1</v>
      </c>
      <c r="AL26" s="6">
        <v>0</v>
      </c>
      <c r="AM26" s="6">
        <v>0</v>
      </c>
      <c r="AN26" s="6">
        <v>1</v>
      </c>
      <c r="AO26" s="6">
        <v>1</v>
      </c>
      <c r="AP26" s="6">
        <v>1</v>
      </c>
      <c r="AQ26" s="6">
        <v>1</v>
      </c>
      <c r="AR26" s="6">
        <v>0</v>
      </c>
      <c r="AS26" s="7">
        <v>1</v>
      </c>
      <c r="AT26" s="5">
        <v>1</v>
      </c>
      <c r="AU26" s="6">
        <v>1</v>
      </c>
      <c r="AV26" s="6">
        <v>0</v>
      </c>
      <c r="AW26" s="6">
        <v>1</v>
      </c>
      <c r="AX26" s="6">
        <v>1</v>
      </c>
      <c r="AY26" s="6">
        <v>0</v>
      </c>
      <c r="AZ26" s="6">
        <v>0</v>
      </c>
      <c r="BA26" s="6">
        <v>1</v>
      </c>
      <c r="BB26" s="6">
        <v>0</v>
      </c>
      <c r="BC26" s="6">
        <v>1</v>
      </c>
      <c r="BD26" s="6">
        <v>0</v>
      </c>
      <c r="BE26" s="6">
        <v>0</v>
      </c>
      <c r="BF26" s="49">
        <v>1</v>
      </c>
      <c r="BG26" s="6">
        <v>0</v>
      </c>
      <c r="BH26" s="7">
        <v>1</v>
      </c>
      <c r="BI26" s="5">
        <v>1</v>
      </c>
      <c r="BJ26" s="6">
        <v>1</v>
      </c>
      <c r="BK26" s="6">
        <v>0</v>
      </c>
      <c r="BL26" s="6">
        <v>1</v>
      </c>
      <c r="BM26" s="6">
        <v>0</v>
      </c>
      <c r="BN26" s="6">
        <v>1</v>
      </c>
      <c r="BO26" s="6">
        <v>1</v>
      </c>
      <c r="BP26" s="6">
        <v>1</v>
      </c>
      <c r="BQ26" s="6">
        <v>1</v>
      </c>
      <c r="BR26" s="6">
        <v>1</v>
      </c>
      <c r="BS26" s="6">
        <v>0</v>
      </c>
      <c r="BT26" s="6">
        <v>1</v>
      </c>
      <c r="BU26" s="6">
        <v>0</v>
      </c>
      <c r="BV26" s="49">
        <v>1</v>
      </c>
      <c r="BW26" s="7">
        <v>0</v>
      </c>
    </row>
    <row r="27" spans="1:75" x14ac:dyDescent="0.3">
      <c r="P27" s="5">
        <v>0</v>
      </c>
      <c r="Q27" s="6">
        <v>1</v>
      </c>
      <c r="R27" s="6">
        <v>0</v>
      </c>
      <c r="S27" s="6">
        <v>1</v>
      </c>
      <c r="T27" s="6">
        <v>0</v>
      </c>
      <c r="U27" s="6">
        <v>0</v>
      </c>
      <c r="V27" s="6">
        <v>0</v>
      </c>
      <c r="W27" s="6">
        <v>0</v>
      </c>
      <c r="X27" s="42">
        <v>1</v>
      </c>
      <c r="Y27" s="6">
        <v>0</v>
      </c>
      <c r="Z27" s="6">
        <v>1</v>
      </c>
      <c r="AA27" s="6">
        <v>0</v>
      </c>
      <c r="AB27" s="6">
        <v>0</v>
      </c>
      <c r="AC27" s="6">
        <v>0</v>
      </c>
      <c r="AD27" s="7">
        <v>0</v>
      </c>
      <c r="AE27" s="5">
        <v>0</v>
      </c>
      <c r="AF27" s="6">
        <v>0</v>
      </c>
      <c r="AG27" s="6">
        <v>0</v>
      </c>
      <c r="AH27" s="42">
        <v>1</v>
      </c>
      <c r="AI27" s="42">
        <v>1</v>
      </c>
      <c r="AJ27" s="42">
        <v>1</v>
      </c>
      <c r="AK27" s="42">
        <v>1</v>
      </c>
      <c r="AL27" s="42">
        <v>1</v>
      </c>
      <c r="AM27" s="6">
        <v>0</v>
      </c>
      <c r="AN27" s="6">
        <v>0</v>
      </c>
      <c r="AO27" s="6">
        <v>0</v>
      </c>
      <c r="AP27" s="6">
        <v>0</v>
      </c>
      <c r="AQ27" s="6">
        <v>1</v>
      </c>
      <c r="AR27" s="6">
        <v>0</v>
      </c>
      <c r="AS27" s="7">
        <v>0</v>
      </c>
      <c r="AT27" s="5">
        <v>0</v>
      </c>
      <c r="AU27" s="6">
        <v>1</v>
      </c>
      <c r="AV27" s="6">
        <v>0</v>
      </c>
      <c r="AW27" s="6">
        <v>1</v>
      </c>
      <c r="AX27" s="6">
        <v>1</v>
      </c>
      <c r="AY27" s="6">
        <v>1</v>
      </c>
      <c r="AZ27" s="6">
        <v>0</v>
      </c>
      <c r="BA27" s="6">
        <v>1</v>
      </c>
      <c r="BB27" s="6">
        <v>0</v>
      </c>
      <c r="BC27" s="6">
        <v>1</v>
      </c>
      <c r="BD27" s="6">
        <v>0</v>
      </c>
      <c r="BE27" s="49">
        <v>1</v>
      </c>
      <c r="BF27" s="49">
        <v>1</v>
      </c>
      <c r="BG27" s="6">
        <v>0</v>
      </c>
      <c r="BH27" s="7">
        <v>0</v>
      </c>
      <c r="BI27" s="5">
        <v>0</v>
      </c>
      <c r="BJ27" s="6">
        <v>1</v>
      </c>
      <c r="BK27" s="6">
        <v>0</v>
      </c>
      <c r="BL27" s="6">
        <v>1</v>
      </c>
      <c r="BM27" s="6">
        <v>0</v>
      </c>
      <c r="BN27" s="6">
        <v>1</v>
      </c>
      <c r="BO27" s="6">
        <v>0</v>
      </c>
      <c r="BP27" s="6">
        <v>0</v>
      </c>
      <c r="BQ27" s="6">
        <v>0</v>
      </c>
      <c r="BR27" s="6">
        <v>1</v>
      </c>
      <c r="BS27" s="6">
        <v>0</v>
      </c>
      <c r="BT27" s="6">
        <v>1</v>
      </c>
      <c r="BU27" s="6">
        <v>0</v>
      </c>
      <c r="BV27" s="49">
        <v>1</v>
      </c>
      <c r="BW27" s="7">
        <v>0</v>
      </c>
    </row>
    <row r="28" spans="1:75" x14ac:dyDescent="0.3">
      <c r="P28" s="5">
        <v>0</v>
      </c>
      <c r="Q28" s="6">
        <v>1</v>
      </c>
      <c r="R28" s="6">
        <v>0</v>
      </c>
      <c r="S28" s="6">
        <v>1</v>
      </c>
      <c r="T28" s="6">
        <v>1</v>
      </c>
      <c r="U28" s="6">
        <v>1</v>
      </c>
      <c r="V28" s="6">
        <v>1</v>
      </c>
      <c r="W28" s="6">
        <v>0</v>
      </c>
      <c r="X28" s="42">
        <v>1</v>
      </c>
      <c r="Y28" s="42">
        <v>1</v>
      </c>
      <c r="Z28" s="42">
        <v>1</v>
      </c>
      <c r="AA28" s="42">
        <v>1</v>
      </c>
      <c r="AB28" s="42">
        <v>1</v>
      </c>
      <c r="AC28" s="42">
        <v>1</v>
      </c>
      <c r="AD28" s="45">
        <v>1</v>
      </c>
      <c r="AE28" s="46">
        <v>1</v>
      </c>
      <c r="AF28" s="42">
        <v>1</v>
      </c>
      <c r="AG28" s="42">
        <v>1</v>
      </c>
      <c r="AH28" s="42">
        <v>1</v>
      </c>
      <c r="AI28" s="6">
        <v>0</v>
      </c>
      <c r="AJ28" s="6">
        <v>0</v>
      </c>
      <c r="AK28" s="6">
        <v>0</v>
      </c>
      <c r="AL28" s="42">
        <v>1</v>
      </c>
      <c r="AM28" s="6">
        <v>1</v>
      </c>
      <c r="AN28" s="6">
        <v>1</v>
      </c>
      <c r="AO28" s="6">
        <v>1</v>
      </c>
      <c r="AP28" s="6">
        <v>0</v>
      </c>
      <c r="AQ28" s="6">
        <v>1</v>
      </c>
      <c r="AR28" s="6">
        <v>0</v>
      </c>
      <c r="AS28" s="7">
        <v>0</v>
      </c>
      <c r="AT28" s="5">
        <v>0</v>
      </c>
      <c r="AU28" s="6">
        <v>1</v>
      </c>
      <c r="AV28" s="6">
        <v>0</v>
      </c>
      <c r="AW28" s="6">
        <v>1</v>
      </c>
      <c r="AX28" s="6">
        <v>0</v>
      </c>
      <c r="AY28" s="6">
        <v>1</v>
      </c>
      <c r="AZ28" s="6">
        <v>0</v>
      </c>
      <c r="BA28" s="6">
        <v>1</v>
      </c>
      <c r="BB28" s="6">
        <v>1</v>
      </c>
      <c r="BC28" s="6">
        <v>1</v>
      </c>
      <c r="BD28" s="6">
        <v>0</v>
      </c>
      <c r="BE28" s="49">
        <v>1</v>
      </c>
      <c r="BF28" s="6">
        <v>0</v>
      </c>
      <c r="BG28" s="6">
        <v>0</v>
      </c>
      <c r="BH28" s="7">
        <v>0</v>
      </c>
      <c r="BI28" s="5">
        <v>0</v>
      </c>
      <c r="BJ28" s="6">
        <v>1</v>
      </c>
      <c r="BK28" s="6">
        <v>0</v>
      </c>
      <c r="BL28" s="6">
        <v>1</v>
      </c>
      <c r="BM28" s="6">
        <v>0</v>
      </c>
      <c r="BN28" s="6">
        <v>1</v>
      </c>
      <c r="BO28" s="6">
        <v>0</v>
      </c>
      <c r="BP28" s="6">
        <v>1</v>
      </c>
      <c r="BQ28" s="6">
        <v>1</v>
      </c>
      <c r="BR28" s="6">
        <v>1</v>
      </c>
      <c r="BS28" s="6">
        <v>0</v>
      </c>
      <c r="BT28" s="6">
        <v>1</v>
      </c>
      <c r="BU28" s="6">
        <v>0</v>
      </c>
      <c r="BV28" s="49">
        <v>1</v>
      </c>
      <c r="BW28" s="7">
        <v>0</v>
      </c>
    </row>
    <row r="29" spans="1:75" x14ac:dyDescent="0.3">
      <c r="P29" s="5">
        <v>0</v>
      </c>
      <c r="Q29" s="6">
        <v>1</v>
      </c>
      <c r="R29" s="6">
        <v>0</v>
      </c>
      <c r="S29" s="6">
        <v>0</v>
      </c>
      <c r="T29" s="6">
        <v>0</v>
      </c>
      <c r="U29" s="6">
        <v>0</v>
      </c>
      <c r="V29" s="6">
        <v>1</v>
      </c>
      <c r="W29" s="6">
        <v>0</v>
      </c>
      <c r="X29" s="6">
        <v>1</v>
      </c>
      <c r="Y29" s="6">
        <v>0</v>
      </c>
      <c r="Z29" s="6">
        <v>0</v>
      </c>
      <c r="AA29" s="6">
        <v>0</v>
      </c>
      <c r="AB29" s="6">
        <v>1</v>
      </c>
      <c r="AC29" s="6">
        <v>0</v>
      </c>
      <c r="AD29" s="7">
        <v>0</v>
      </c>
      <c r="AE29" s="5">
        <v>0</v>
      </c>
      <c r="AF29" s="6">
        <v>0</v>
      </c>
      <c r="AG29" s="6">
        <v>0</v>
      </c>
      <c r="AH29" s="6">
        <v>0</v>
      </c>
      <c r="AI29" s="6">
        <v>0</v>
      </c>
      <c r="AJ29" s="6">
        <v>1</v>
      </c>
      <c r="AK29" s="6">
        <v>0</v>
      </c>
      <c r="AL29" s="42">
        <v>1</v>
      </c>
      <c r="AM29" s="6">
        <v>0</v>
      </c>
      <c r="AN29" s="6">
        <v>0</v>
      </c>
      <c r="AO29" s="6">
        <v>1</v>
      </c>
      <c r="AP29" s="6">
        <v>0</v>
      </c>
      <c r="AQ29" s="6">
        <v>1</v>
      </c>
      <c r="AR29" s="6">
        <v>0</v>
      </c>
      <c r="AS29" s="7">
        <v>1</v>
      </c>
      <c r="AT29" s="5">
        <v>1</v>
      </c>
      <c r="AU29" s="6">
        <v>0</v>
      </c>
      <c r="AV29" s="6">
        <v>0</v>
      </c>
      <c r="AW29" s="6">
        <v>1</v>
      </c>
      <c r="AX29" s="6">
        <v>0</v>
      </c>
      <c r="AY29" s="6">
        <v>1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49">
        <v>1</v>
      </c>
      <c r="BF29" s="6">
        <v>0</v>
      </c>
      <c r="BG29" s="6">
        <v>1</v>
      </c>
      <c r="BH29" s="7">
        <v>1</v>
      </c>
      <c r="BI29" s="5">
        <v>1</v>
      </c>
      <c r="BJ29" s="6">
        <v>1</v>
      </c>
      <c r="BK29" s="6">
        <v>0</v>
      </c>
      <c r="BL29" s="6">
        <v>1</v>
      </c>
      <c r="BM29" s="6">
        <v>0</v>
      </c>
      <c r="BN29" s="6">
        <v>1</v>
      </c>
      <c r="BO29" s="6">
        <v>0</v>
      </c>
      <c r="BP29" s="6">
        <v>1</v>
      </c>
      <c r="BQ29" s="6">
        <v>0</v>
      </c>
      <c r="BR29" s="6">
        <v>0</v>
      </c>
      <c r="BS29" s="6">
        <v>0</v>
      </c>
      <c r="BT29" s="6">
        <v>1</v>
      </c>
      <c r="BU29" s="6">
        <v>0</v>
      </c>
      <c r="BV29" s="49">
        <v>1</v>
      </c>
      <c r="BW29" s="7">
        <v>0</v>
      </c>
    </row>
    <row r="30" spans="1:75" x14ac:dyDescent="0.3">
      <c r="P30" s="5">
        <v>0</v>
      </c>
      <c r="Q30" s="6">
        <v>1</v>
      </c>
      <c r="R30" s="6">
        <v>1</v>
      </c>
      <c r="S30" s="6">
        <v>1</v>
      </c>
      <c r="T30" s="6">
        <v>1</v>
      </c>
      <c r="U30" s="6">
        <v>1</v>
      </c>
      <c r="V30" s="6">
        <v>1</v>
      </c>
      <c r="W30" s="6">
        <v>0</v>
      </c>
      <c r="X30" s="6">
        <v>1</v>
      </c>
      <c r="Y30" s="6">
        <v>0</v>
      </c>
      <c r="Z30" s="6">
        <v>1</v>
      </c>
      <c r="AA30" s="6">
        <v>1</v>
      </c>
      <c r="AB30" s="6">
        <v>1</v>
      </c>
      <c r="AC30" s="6">
        <v>0</v>
      </c>
      <c r="AD30" s="7">
        <v>0</v>
      </c>
      <c r="AE30" s="5">
        <v>0</v>
      </c>
      <c r="AF30" s="6">
        <v>1</v>
      </c>
      <c r="AG30" s="6">
        <v>0</v>
      </c>
      <c r="AH30" s="6">
        <v>0</v>
      </c>
      <c r="AI30" s="6">
        <v>1</v>
      </c>
      <c r="AJ30" s="6">
        <v>1</v>
      </c>
      <c r="AK30" s="6">
        <v>0</v>
      </c>
      <c r="AL30" s="42">
        <v>1</v>
      </c>
      <c r="AM30" s="6">
        <v>0</v>
      </c>
      <c r="AN30" s="6">
        <v>1</v>
      </c>
      <c r="AO30" s="6">
        <v>1</v>
      </c>
      <c r="AP30" s="6">
        <v>0</v>
      </c>
      <c r="AQ30" s="6">
        <v>1</v>
      </c>
      <c r="AR30" s="6">
        <v>0</v>
      </c>
      <c r="AS30" s="7">
        <v>0</v>
      </c>
      <c r="AT30" s="5">
        <v>0</v>
      </c>
      <c r="AU30" s="6">
        <v>0</v>
      </c>
      <c r="AV30" s="6">
        <v>1</v>
      </c>
      <c r="AW30" s="6">
        <v>1</v>
      </c>
      <c r="AX30" s="6">
        <v>0</v>
      </c>
      <c r="AY30" s="6">
        <v>1</v>
      </c>
      <c r="AZ30" s="6">
        <v>0</v>
      </c>
      <c r="BA30" s="49">
        <v>1</v>
      </c>
      <c r="BB30" s="49">
        <v>1</v>
      </c>
      <c r="BC30" s="49">
        <v>1</v>
      </c>
      <c r="BD30" s="49">
        <v>1</v>
      </c>
      <c r="BE30" s="49">
        <v>1</v>
      </c>
      <c r="BF30" s="6">
        <v>0</v>
      </c>
      <c r="BG30" s="6">
        <v>1</v>
      </c>
      <c r="BH30" s="7">
        <v>0</v>
      </c>
      <c r="BI30" s="5">
        <v>0</v>
      </c>
      <c r="BJ30" s="6">
        <v>0</v>
      </c>
      <c r="BK30" s="6">
        <v>0</v>
      </c>
      <c r="BL30" s="6">
        <v>1</v>
      </c>
      <c r="BM30" s="6">
        <v>0</v>
      </c>
      <c r="BN30" s="6">
        <v>1</v>
      </c>
      <c r="BO30" s="6">
        <v>0</v>
      </c>
      <c r="BP30" s="6">
        <v>1</v>
      </c>
      <c r="BQ30" s="6">
        <v>1</v>
      </c>
      <c r="BR30" s="6">
        <v>1</v>
      </c>
      <c r="BS30" s="6">
        <v>1</v>
      </c>
      <c r="BT30" s="6">
        <v>1</v>
      </c>
      <c r="BU30" s="6">
        <v>0</v>
      </c>
      <c r="BV30" s="49">
        <v>1</v>
      </c>
      <c r="BW30" s="7">
        <v>0</v>
      </c>
    </row>
    <row r="31" spans="1:75" x14ac:dyDescent="0.3">
      <c r="P31" s="5">
        <v>0</v>
      </c>
      <c r="Q31" s="6">
        <v>1</v>
      </c>
      <c r="R31" s="6">
        <v>0</v>
      </c>
      <c r="S31" s="6">
        <v>1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1</v>
      </c>
      <c r="AA31" s="6">
        <v>0</v>
      </c>
      <c r="AB31" s="6">
        <v>0</v>
      </c>
      <c r="AC31" s="6">
        <v>0</v>
      </c>
      <c r="AD31" s="7">
        <v>1</v>
      </c>
      <c r="AE31" s="5">
        <v>1</v>
      </c>
      <c r="AF31" s="6">
        <v>1</v>
      </c>
      <c r="AG31" s="6">
        <v>1</v>
      </c>
      <c r="AH31" s="6">
        <v>0</v>
      </c>
      <c r="AI31" s="6">
        <v>1</v>
      </c>
      <c r="AJ31" s="6">
        <v>0</v>
      </c>
      <c r="AK31" s="6">
        <v>0</v>
      </c>
      <c r="AL31" s="42">
        <v>1</v>
      </c>
      <c r="AM31" s="6">
        <v>0</v>
      </c>
      <c r="AN31" s="6">
        <v>0</v>
      </c>
      <c r="AO31" s="6">
        <v>0</v>
      </c>
      <c r="AP31" s="6">
        <v>0</v>
      </c>
      <c r="AQ31" s="6">
        <v>1</v>
      </c>
      <c r="AR31" s="6">
        <v>0</v>
      </c>
      <c r="AS31" s="7">
        <v>1</v>
      </c>
      <c r="AT31" s="5">
        <v>1</v>
      </c>
      <c r="AU31" s="6">
        <v>1</v>
      </c>
      <c r="AV31" s="6">
        <v>1</v>
      </c>
      <c r="AW31" s="6">
        <v>1</v>
      </c>
      <c r="AX31" s="6">
        <v>0</v>
      </c>
      <c r="AY31" s="6">
        <v>1</v>
      </c>
      <c r="AZ31" s="6">
        <v>0</v>
      </c>
      <c r="BA31" s="49">
        <v>1</v>
      </c>
      <c r="BB31" s="6">
        <v>0</v>
      </c>
      <c r="BC31" s="6">
        <v>0</v>
      </c>
      <c r="BD31" s="6">
        <v>0</v>
      </c>
      <c r="BE31" s="6">
        <v>0</v>
      </c>
      <c r="BF31" s="6">
        <v>0</v>
      </c>
      <c r="BG31" s="6">
        <v>1</v>
      </c>
      <c r="BH31" s="7">
        <v>1</v>
      </c>
      <c r="BI31" s="5">
        <v>1</v>
      </c>
      <c r="BJ31" s="6">
        <v>1</v>
      </c>
      <c r="BK31" s="6">
        <v>1</v>
      </c>
      <c r="BL31" s="6">
        <v>1</v>
      </c>
      <c r="BM31" s="6">
        <v>0</v>
      </c>
      <c r="BN31" s="6">
        <v>1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6">
        <v>0</v>
      </c>
      <c r="BV31" s="49">
        <v>1</v>
      </c>
      <c r="BW31" s="7">
        <v>0</v>
      </c>
    </row>
    <row r="32" spans="1:75" x14ac:dyDescent="0.3">
      <c r="P32" s="5">
        <v>0</v>
      </c>
      <c r="Q32" s="6">
        <v>1</v>
      </c>
      <c r="R32" s="6">
        <v>0</v>
      </c>
      <c r="S32" s="6">
        <v>1</v>
      </c>
      <c r="T32" s="6">
        <v>1</v>
      </c>
      <c r="U32" s="6">
        <v>1</v>
      </c>
      <c r="V32" s="6">
        <v>1</v>
      </c>
      <c r="W32" s="6">
        <v>0</v>
      </c>
      <c r="X32" s="6">
        <v>0</v>
      </c>
      <c r="Y32" s="6">
        <v>0</v>
      </c>
      <c r="Z32" s="6">
        <v>1</v>
      </c>
      <c r="AA32" s="6">
        <v>1</v>
      </c>
      <c r="AB32" s="6">
        <v>1</v>
      </c>
      <c r="AC32" s="6">
        <v>1</v>
      </c>
      <c r="AD32" s="7">
        <v>0</v>
      </c>
      <c r="AE32" s="5">
        <v>0</v>
      </c>
      <c r="AF32" s="6">
        <v>0</v>
      </c>
      <c r="AG32" s="6">
        <v>1</v>
      </c>
      <c r="AH32" s="6">
        <v>1</v>
      </c>
      <c r="AI32" s="6">
        <v>1</v>
      </c>
      <c r="AJ32" s="6">
        <v>0</v>
      </c>
      <c r="AK32" s="42">
        <v>1</v>
      </c>
      <c r="AL32" s="42">
        <v>1</v>
      </c>
      <c r="AM32" s="6">
        <v>0</v>
      </c>
      <c r="AN32" s="6">
        <v>1</v>
      </c>
      <c r="AO32" s="6">
        <v>1</v>
      </c>
      <c r="AP32" s="6">
        <v>1</v>
      </c>
      <c r="AQ32" s="6">
        <v>1</v>
      </c>
      <c r="AR32" s="6">
        <v>0</v>
      </c>
      <c r="AS32" s="7">
        <v>0</v>
      </c>
      <c r="AT32" s="5">
        <v>0</v>
      </c>
      <c r="AU32" s="6">
        <v>0</v>
      </c>
      <c r="AV32" s="6">
        <v>0</v>
      </c>
      <c r="AW32" s="6">
        <v>0</v>
      </c>
      <c r="AX32" s="6">
        <v>0</v>
      </c>
      <c r="AY32" s="6">
        <v>1</v>
      </c>
      <c r="AZ32" s="6">
        <v>0</v>
      </c>
      <c r="BA32" s="49">
        <v>1</v>
      </c>
      <c r="BB32" s="6">
        <v>0</v>
      </c>
      <c r="BC32" s="6">
        <v>1</v>
      </c>
      <c r="BD32" s="6">
        <v>1</v>
      </c>
      <c r="BE32" s="6">
        <v>1</v>
      </c>
      <c r="BF32" s="6">
        <v>1</v>
      </c>
      <c r="BG32" s="6">
        <v>1</v>
      </c>
      <c r="BH32" s="7">
        <v>0</v>
      </c>
      <c r="BI32" s="5">
        <v>0</v>
      </c>
      <c r="BJ32" s="6">
        <v>0</v>
      </c>
      <c r="BK32" s="6">
        <v>0</v>
      </c>
      <c r="BL32" s="6">
        <v>0</v>
      </c>
      <c r="BM32" s="6">
        <v>0</v>
      </c>
      <c r="BN32" s="6">
        <v>1</v>
      </c>
      <c r="BO32" s="6">
        <v>1</v>
      </c>
      <c r="BP32" s="6">
        <v>1</v>
      </c>
      <c r="BQ32" s="6">
        <v>0</v>
      </c>
      <c r="BR32" s="6">
        <v>1</v>
      </c>
      <c r="BS32" s="6">
        <v>0</v>
      </c>
      <c r="BT32" s="6">
        <v>1</v>
      </c>
      <c r="BU32" s="6">
        <v>0</v>
      </c>
      <c r="BV32" s="49">
        <v>1</v>
      </c>
      <c r="BW32" s="7">
        <v>0</v>
      </c>
    </row>
    <row r="33" spans="16:75" x14ac:dyDescent="0.3">
      <c r="P33" s="5">
        <v>0</v>
      </c>
      <c r="Q33" s="6">
        <v>1</v>
      </c>
      <c r="R33" s="6">
        <v>0</v>
      </c>
      <c r="S33" s="6">
        <v>0</v>
      </c>
      <c r="T33" s="6">
        <v>1</v>
      </c>
      <c r="U33" s="6">
        <v>0</v>
      </c>
      <c r="V33" s="6">
        <v>0</v>
      </c>
      <c r="W33" s="6">
        <v>1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7">
        <v>1</v>
      </c>
      <c r="AE33" s="5">
        <v>1</v>
      </c>
      <c r="AF33" s="6">
        <v>0</v>
      </c>
      <c r="AG33" s="6">
        <v>1</v>
      </c>
      <c r="AH33" s="6">
        <v>0</v>
      </c>
      <c r="AI33" s="6">
        <v>0</v>
      </c>
      <c r="AJ33" s="6">
        <v>0</v>
      </c>
      <c r="AK33" s="42">
        <v>1</v>
      </c>
      <c r="AL33" s="6">
        <v>0</v>
      </c>
      <c r="AM33" s="6">
        <v>0</v>
      </c>
      <c r="AN33" s="6">
        <v>0</v>
      </c>
      <c r="AO33" s="6">
        <v>0</v>
      </c>
      <c r="AP33" s="6">
        <v>1</v>
      </c>
      <c r="AQ33" s="6">
        <v>0</v>
      </c>
      <c r="AR33" s="6">
        <v>0</v>
      </c>
      <c r="AS33" s="7">
        <v>0</v>
      </c>
      <c r="AT33" s="5">
        <v>0</v>
      </c>
      <c r="AU33" s="6">
        <v>1</v>
      </c>
      <c r="AV33" s="6">
        <v>0</v>
      </c>
      <c r="AW33" s="6">
        <v>0</v>
      </c>
      <c r="AX33" s="6">
        <v>1</v>
      </c>
      <c r="AY33" s="6">
        <v>1</v>
      </c>
      <c r="AZ33" s="6">
        <v>0</v>
      </c>
      <c r="BA33" s="49">
        <v>1</v>
      </c>
      <c r="BB33" s="6">
        <v>0</v>
      </c>
      <c r="BC33" s="6">
        <v>1</v>
      </c>
      <c r="BD33" s="6">
        <v>0</v>
      </c>
      <c r="BE33" s="6">
        <v>0</v>
      </c>
      <c r="BF33" s="6">
        <v>0</v>
      </c>
      <c r="BG33" s="6">
        <v>0</v>
      </c>
      <c r="BH33" s="7">
        <v>0</v>
      </c>
      <c r="BI33" s="5">
        <v>0</v>
      </c>
      <c r="BJ33" s="6">
        <v>1</v>
      </c>
      <c r="BK33" s="6">
        <v>1</v>
      </c>
      <c r="BL33" s="6">
        <v>1</v>
      </c>
      <c r="BM33" s="6">
        <v>0</v>
      </c>
      <c r="BN33" s="6">
        <v>1</v>
      </c>
      <c r="BO33" s="6">
        <v>0</v>
      </c>
      <c r="BP33" s="6">
        <v>0</v>
      </c>
      <c r="BQ33" s="6">
        <v>0</v>
      </c>
      <c r="BR33" s="6">
        <v>1</v>
      </c>
      <c r="BS33" s="6">
        <v>0</v>
      </c>
      <c r="BT33" s="6">
        <v>1</v>
      </c>
      <c r="BU33" s="6">
        <v>0</v>
      </c>
      <c r="BV33" s="49">
        <v>1</v>
      </c>
      <c r="BW33" s="7">
        <v>0</v>
      </c>
    </row>
    <row r="34" spans="16:75" x14ac:dyDescent="0.3">
      <c r="P34" s="5">
        <v>0</v>
      </c>
      <c r="Q34" s="6">
        <v>1</v>
      </c>
      <c r="R34" s="6">
        <v>0</v>
      </c>
      <c r="S34" s="6">
        <v>1</v>
      </c>
      <c r="T34" s="6">
        <v>0</v>
      </c>
      <c r="U34" s="6">
        <v>0</v>
      </c>
      <c r="V34" s="6">
        <v>1</v>
      </c>
      <c r="W34" s="6">
        <v>1</v>
      </c>
      <c r="X34" s="6">
        <v>0</v>
      </c>
      <c r="Y34" s="6">
        <v>1</v>
      </c>
      <c r="Z34" s="6">
        <v>1</v>
      </c>
      <c r="AA34" s="6">
        <v>0</v>
      </c>
      <c r="AB34" s="6">
        <v>0</v>
      </c>
      <c r="AC34" s="6">
        <v>1</v>
      </c>
      <c r="AD34" s="7">
        <v>1</v>
      </c>
      <c r="AE34" s="5">
        <v>1</v>
      </c>
      <c r="AF34" s="6">
        <v>1</v>
      </c>
      <c r="AG34" s="6">
        <v>1</v>
      </c>
      <c r="AH34" s="6">
        <v>0</v>
      </c>
      <c r="AI34" s="42">
        <v>1</v>
      </c>
      <c r="AJ34" s="42">
        <v>1</v>
      </c>
      <c r="AK34" s="42">
        <v>1</v>
      </c>
      <c r="AL34" s="6">
        <v>0</v>
      </c>
      <c r="AM34" s="6">
        <v>0</v>
      </c>
      <c r="AN34" s="6">
        <v>1</v>
      </c>
      <c r="AO34" s="6">
        <v>1</v>
      </c>
      <c r="AP34" s="6">
        <v>1</v>
      </c>
      <c r="AQ34" s="6">
        <v>0</v>
      </c>
      <c r="AR34" s="6">
        <v>1</v>
      </c>
      <c r="AS34" s="7">
        <v>1</v>
      </c>
      <c r="AT34" s="5">
        <v>1</v>
      </c>
      <c r="AU34" s="6">
        <v>1</v>
      </c>
      <c r="AV34" s="6">
        <v>1</v>
      </c>
      <c r="AW34" s="6">
        <v>1</v>
      </c>
      <c r="AX34" s="6">
        <v>1</v>
      </c>
      <c r="AY34" s="6">
        <v>0</v>
      </c>
      <c r="AZ34" s="6">
        <v>0</v>
      </c>
      <c r="BA34" s="49">
        <v>1</v>
      </c>
      <c r="BB34" s="6">
        <v>0</v>
      </c>
      <c r="BC34" s="6">
        <v>1</v>
      </c>
      <c r="BD34" s="6">
        <v>1</v>
      </c>
      <c r="BE34" s="6">
        <v>1</v>
      </c>
      <c r="BF34" s="6">
        <v>1</v>
      </c>
      <c r="BG34" s="6">
        <v>1</v>
      </c>
      <c r="BH34" s="7">
        <v>0</v>
      </c>
      <c r="BI34" s="5">
        <v>0</v>
      </c>
      <c r="BJ34" s="6">
        <v>0</v>
      </c>
      <c r="BK34" s="6">
        <v>1</v>
      </c>
      <c r="BL34" s="6">
        <v>0</v>
      </c>
      <c r="BM34" s="6">
        <v>0</v>
      </c>
      <c r="BN34" s="6">
        <v>1</v>
      </c>
      <c r="BO34" s="6">
        <v>1</v>
      </c>
      <c r="BP34" s="6">
        <v>0</v>
      </c>
      <c r="BQ34" s="49">
        <v>1</v>
      </c>
      <c r="BR34" s="49">
        <v>1</v>
      </c>
      <c r="BS34" s="49">
        <v>1</v>
      </c>
      <c r="BT34" s="49">
        <v>1</v>
      </c>
      <c r="BU34" s="49">
        <v>1</v>
      </c>
      <c r="BV34" s="49">
        <v>1</v>
      </c>
      <c r="BW34" s="7">
        <v>0</v>
      </c>
    </row>
    <row r="35" spans="16:75" x14ac:dyDescent="0.3">
      <c r="P35" s="5">
        <v>0</v>
      </c>
      <c r="Q35" s="6">
        <v>1</v>
      </c>
      <c r="R35" s="6">
        <v>0</v>
      </c>
      <c r="S35" s="6">
        <v>1</v>
      </c>
      <c r="T35" s="6">
        <v>0</v>
      </c>
      <c r="U35" s="6">
        <v>1</v>
      </c>
      <c r="V35" s="6">
        <v>0</v>
      </c>
      <c r="W35" s="6">
        <v>1</v>
      </c>
      <c r="X35" s="6">
        <v>0</v>
      </c>
      <c r="Y35" s="6">
        <v>0</v>
      </c>
      <c r="Z35" s="6">
        <v>1</v>
      </c>
      <c r="AA35" s="6">
        <v>1</v>
      </c>
      <c r="AB35" s="6">
        <v>1</v>
      </c>
      <c r="AC35" s="6">
        <v>1</v>
      </c>
      <c r="AD35" s="7">
        <v>0</v>
      </c>
      <c r="AE35" s="5">
        <v>0</v>
      </c>
      <c r="AF35" s="6">
        <v>0</v>
      </c>
      <c r="AG35" s="6">
        <v>0</v>
      </c>
      <c r="AH35" s="6">
        <v>0</v>
      </c>
      <c r="AI35" s="42">
        <v>1</v>
      </c>
      <c r="AJ35" s="6">
        <v>0</v>
      </c>
      <c r="AK35" s="6">
        <v>0</v>
      </c>
      <c r="AL35" s="6">
        <v>0</v>
      </c>
      <c r="AM35" s="6">
        <v>1</v>
      </c>
      <c r="AN35" s="6">
        <v>1</v>
      </c>
      <c r="AO35" s="6">
        <v>0</v>
      </c>
      <c r="AP35" s="6">
        <v>1</v>
      </c>
      <c r="AQ35" s="6">
        <v>1</v>
      </c>
      <c r="AR35" s="6">
        <v>1</v>
      </c>
      <c r="AS35" s="7">
        <v>0</v>
      </c>
      <c r="AT35" s="5">
        <v>0</v>
      </c>
      <c r="AU35" s="6">
        <v>0</v>
      </c>
      <c r="AV35" s="6">
        <v>0</v>
      </c>
      <c r="AW35" s="6">
        <v>1</v>
      </c>
      <c r="AX35" s="54">
        <v>0</v>
      </c>
      <c r="AY35" s="49">
        <v>1</v>
      </c>
      <c r="AZ35" s="49">
        <v>1</v>
      </c>
      <c r="BA35" s="49">
        <v>1</v>
      </c>
      <c r="BB35" s="6">
        <v>0</v>
      </c>
      <c r="BC35" s="6">
        <v>0</v>
      </c>
      <c r="BD35" s="6">
        <v>0</v>
      </c>
      <c r="BE35" s="6">
        <v>1</v>
      </c>
      <c r="BF35" s="6">
        <v>0</v>
      </c>
      <c r="BG35" s="6">
        <v>0</v>
      </c>
      <c r="BH35" s="7">
        <v>1</v>
      </c>
      <c r="BI35" s="5">
        <v>1</v>
      </c>
      <c r="BJ35" s="6">
        <v>1</v>
      </c>
      <c r="BK35" s="6">
        <v>1</v>
      </c>
      <c r="BL35" s="6">
        <v>0</v>
      </c>
      <c r="BM35" s="6">
        <v>0</v>
      </c>
      <c r="BN35" s="6">
        <v>1</v>
      </c>
      <c r="BO35" s="6">
        <v>0</v>
      </c>
      <c r="BP35" s="6">
        <v>0</v>
      </c>
      <c r="BQ35" s="49">
        <v>1</v>
      </c>
      <c r="BR35" s="6">
        <v>0</v>
      </c>
      <c r="BS35" s="6">
        <v>0</v>
      </c>
      <c r="BT35" s="6">
        <v>1</v>
      </c>
      <c r="BU35" s="6">
        <v>0</v>
      </c>
      <c r="BV35" s="6">
        <v>1</v>
      </c>
      <c r="BW35" s="7">
        <v>0</v>
      </c>
    </row>
    <row r="36" spans="16:75" ht="15" thickBot="1" x14ac:dyDescent="0.35">
      <c r="P36" s="8">
        <v>0</v>
      </c>
      <c r="Q36" s="9">
        <v>1</v>
      </c>
      <c r="R36" s="9">
        <v>0</v>
      </c>
      <c r="S36" s="9">
        <v>1</v>
      </c>
      <c r="T36" s="9">
        <v>0</v>
      </c>
      <c r="U36" s="9">
        <v>1</v>
      </c>
      <c r="V36" s="9">
        <v>0</v>
      </c>
      <c r="W36" s="9">
        <v>1</v>
      </c>
      <c r="X36" s="9">
        <v>1</v>
      </c>
      <c r="Y36" s="9">
        <v>0</v>
      </c>
      <c r="Z36" s="9">
        <v>0</v>
      </c>
      <c r="AA36" s="9">
        <v>1</v>
      </c>
      <c r="AB36" s="9">
        <v>0</v>
      </c>
      <c r="AC36" s="9">
        <v>0</v>
      </c>
      <c r="AD36" s="10">
        <v>1</v>
      </c>
      <c r="AE36" s="8">
        <v>1</v>
      </c>
      <c r="AF36" s="9">
        <v>0</v>
      </c>
      <c r="AG36" s="9">
        <v>0</v>
      </c>
      <c r="AH36" s="43">
        <v>1</v>
      </c>
      <c r="AI36" s="43">
        <v>1</v>
      </c>
      <c r="AJ36" s="9">
        <v>0</v>
      </c>
      <c r="AK36" s="9">
        <v>1</v>
      </c>
      <c r="AL36" s="9">
        <v>1</v>
      </c>
      <c r="AM36" s="9">
        <v>1</v>
      </c>
      <c r="AN36" s="9">
        <v>0</v>
      </c>
      <c r="AO36" s="9">
        <v>0</v>
      </c>
      <c r="AP36" s="9">
        <v>0</v>
      </c>
      <c r="AQ36" s="9">
        <v>0</v>
      </c>
      <c r="AR36" s="9">
        <v>0</v>
      </c>
      <c r="AS36" s="10">
        <v>0</v>
      </c>
      <c r="AT36" s="8">
        <v>0</v>
      </c>
      <c r="AU36" s="9">
        <v>0</v>
      </c>
      <c r="AV36" s="9">
        <v>0</v>
      </c>
      <c r="AW36" s="9">
        <v>0</v>
      </c>
      <c r="AX36" s="9">
        <v>0</v>
      </c>
      <c r="AY36" s="52">
        <v>1</v>
      </c>
      <c r="AZ36" s="9">
        <v>0</v>
      </c>
      <c r="BA36" s="9">
        <v>0</v>
      </c>
      <c r="BB36" s="9">
        <v>0</v>
      </c>
      <c r="BC36" s="9">
        <v>1</v>
      </c>
      <c r="BD36" s="9">
        <v>0</v>
      </c>
      <c r="BE36" s="9">
        <v>1</v>
      </c>
      <c r="BF36" s="9">
        <v>0</v>
      </c>
      <c r="BG36" s="9">
        <v>0</v>
      </c>
      <c r="BH36" s="10">
        <v>0</v>
      </c>
      <c r="BI36" s="8">
        <v>0</v>
      </c>
      <c r="BJ36" s="9">
        <v>0</v>
      </c>
      <c r="BK36" s="9">
        <v>1</v>
      </c>
      <c r="BL36" s="9">
        <v>0</v>
      </c>
      <c r="BM36" s="9">
        <v>0</v>
      </c>
      <c r="BN36" s="9">
        <v>1</v>
      </c>
      <c r="BO36" s="9">
        <v>0</v>
      </c>
      <c r="BP36" s="9">
        <v>0</v>
      </c>
      <c r="BQ36" s="52">
        <v>1</v>
      </c>
      <c r="BR36" s="9">
        <v>0</v>
      </c>
      <c r="BS36" s="9">
        <v>0</v>
      </c>
      <c r="BT36" s="9">
        <v>1</v>
      </c>
      <c r="BU36" s="9">
        <v>0</v>
      </c>
      <c r="BV36" s="9">
        <v>1</v>
      </c>
      <c r="BW36" s="10">
        <v>0</v>
      </c>
    </row>
    <row r="37" spans="16:75" x14ac:dyDescent="0.3">
      <c r="P37" s="2">
        <v>0</v>
      </c>
      <c r="Q37" s="3">
        <v>1</v>
      </c>
      <c r="R37" s="3">
        <v>0</v>
      </c>
      <c r="S37" s="3">
        <v>1</v>
      </c>
      <c r="T37" s="3">
        <v>0</v>
      </c>
      <c r="U37" s="3">
        <v>1</v>
      </c>
      <c r="V37" s="3">
        <v>0</v>
      </c>
      <c r="W37" s="3">
        <v>1</v>
      </c>
      <c r="X37" s="3">
        <v>1</v>
      </c>
      <c r="Y37" s="3">
        <v>0</v>
      </c>
      <c r="Z37" s="3">
        <v>0</v>
      </c>
      <c r="AA37" s="3">
        <v>1</v>
      </c>
      <c r="AB37" s="3">
        <v>0</v>
      </c>
      <c r="AC37" s="3">
        <v>0</v>
      </c>
      <c r="AD37" s="4">
        <v>1</v>
      </c>
      <c r="AE37" s="2">
        <v>1</v>
      </c>
      <c r="AF37" s="3">
        <v>0</v>
      </c>
      <c r="AG37" s="3">
        <v>0</v>
      </c>
      <c r="AH37" s="44">
        <v>1</v>
      </c>
      <c r="AI37" s="3">
        <v>1</v>
      </c>
      <c r="AJ37" s="3">
        <v>0</v>
      </c>
      <c r="AK37" s="3">
        <v>1</v>
      </c>
      <c r="AL37" s="3">
        <v>1</v>
      </c>
      <c r="AM37" s="3">
        <v>1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4">
        <v>0</v>
      </c>
      <c r="AT37" s="2">
        <v>0</v>
      </c>
      <c r="AU37" s="3">
        <v>0</v>
      </c>
      <c r="AV37" s="3">
        <v>0</v>
      </c>
      <c r="AW37" s="3">
        <v>0</v>
      </c>
      <c r="AX37" s="3">
        <v>0</v>
      </c>
      <c r="AY37" s="53">
        <v>1</v>
      </c>
      <c r="AZ37" s="3">
        <v>0</v>
      </c>
      <c r="BA37" s="3">
        <v>0</v>
      </c>
      <c r="BB37" s="3">
        <v>0</v>
      </c>
      <c r="BC37" s="3">
        <v>1</v>
      </c>
      <c r="BD37" s="3">
        <v>0</v>
      </c>
      <c r="BE37" s="3">
        <v>1</v>
      </c>
      <c r="BF37" s="3">
        <v>0</v>
      </c>
      <c r="BG37" s="3">
        <v>0</v>
      </c>
      <c r="BH37" s="4">
        <v>0</v>
      </c>
      <c r="BI37" s="2">
        <v>0</v>
      </c>
      <c r="BJ37" s="3">
        <v>0</v>
      </c>
      <c r="BK37" s="3">
        <v>1</v>
      </c>
      <c r="BL37" s="3">
        <v>0</v>
      </c>
      <c r="BM37" s="3">
        <v>0</v>
      </c>
      <c r="BN37" s="3">
        <v>1</v>
      </c>
      <c r="BO37" s="3">
        <v>0</v>
      </c>
      <c r="BP37" s="3">
        <v>0</v>
      </c>
      <c r="BQ37" s="3">
        <v>1</v>
      </c>
      <c r="BR37" s="3">
        <v>0</v>
      </c>
      <c r="BS37" s="3">
        <v>0</v>
      </c>
      <c r="BT37" s="3">
        <v>1</v>
      </c>
      <c r="BU37" s="3">
        <v>0</v>
      </c>
      <c r="BV37" s="3">
        <v>1</v>
      </c>
      <c r="BW37" s="4">
        <v>0</v>
      </c>
    </row>
    <row r="38" spans="16:75" x14ac:dyDescent="0.3">
      <c r="P38" s="5">
        <v>0</v>
      </c>
      <c r="Q38" s="6">
        <v>1</v>
      </c>
      <c r="R38" s="6">
        <v>0</v>
      </c>
      <c r="S38" s="6">
        <v>1</v>
      </c>
      <c r="T38" s="6">
        <v>0</v>
      </c>
      <c r="U38" s="6">
        <v>0</v>
      </c>
      <c r="V38" s="6">
        <v>0</v>
      </c>
      <c r="W38" s="6">
        <v>0</v>
      </c>
      <c r="X38" s="6">
        <v>1</v>
      </c>
      <c r="Y38" s="6">
        <v>0</v>
      </c>
      <c r="Z38" s="6">
        <v>0</v>
      </c>
      <c r="AA38" s="6">
        <v>1</v>
      </c>
      <c r="AB38" s="6">
        <v>1</v>
      </c>
      <c r="AC38" s="6">
        <v>0</v>
      </c>
      <c r="AD38" s="45">
        <v>1</v>
      </c>
      <c r="AE38" s="46">
        <v>1</v>
      </c>
      <c r="AF38" s="42">
        <v>1</v>
      </c>
      <c r="AG38" s="42">
        <v>1</v>
      </c>
      <c r="AH38" s="42">
        <v>1</v>
      </c>
      <c r="AI38" s="6">
        <v>0</v>
      </c>
      <c r="AJ38" s="6">
        <v>1</v>
      </c>
      <c r="AK38" s="6">
        <v>0</v>
      </c>
      <c r="AL38" s="6">
        <v>1</v>
      </c>
      <c r="AM38" s="6">
        <v>0</v>
      </c>
      <c r="AN38" s="6">
        <v>0</v>
      </c>
      <c r="AO38" s="6">
        <v>0</v>
      </c>
      <c r="AP38" s="49">
        <v>1</v>
      </c>
      <c r="AQ38" s="49">
        <v>1</v>
      </c>
      <c r="AR38" s="49">
        <v>1</v>
      </c>
      <c r="AS38" s="50">
        <v>1</v>
      </c>
      <c r="AT38" s="51">
        <v>1</v>
      </c>
      <c r="AU38" s="49">
        <v>1</v>
      </c>
      <c r="AV38" s="49">
        <v>1</v>
      </c>
      <c r="AW38" s="49">
        <v>1</v>
      </c>
      <c r="AX38" s="49">
        <v>1</v>
      </c>
      <c r="AY38" s="49">
        <v>1</v>
      </c>
      <c r="AZ38" s="6">
        <v>0</v>
      </c>
      <c r="BA38" s="6">
        <v>1</v>
      </c>
      <c r="BB38" s="6">
        <v>1</v>
      </c>
      <c r="BC38" s="6">
        <v>1</v>
      </c>
      <c r="BD38" s="6">
        <v>1</v>
      </c>
      <c r="BE38" s="6">
        <v>1</v>
      </c>
      <c r="BF38" s="6">
        <v>0</v>
      </c>
      <c r="BG38" s="6">
        <v>1</v>
      </c>
      <c r="BH38" s="7">
        <v>0</v>
      </c>
      <c r="BI38" s="5">
        <v>0</v>
      </c>
      <c r="BJ38" s="6">
        <v>0</v>
      </c>
      <c r="BK38" s="49">
        <v>1</v>
      </c>
      <c r="BL38" s="49">
        <v>1</v>
      </c>
      <c r="BM38" s="49">
        <v>1</v>
      </c>
      <c r="BN38" s="49">
        <v>1</v>
      </c>
      <c r="BO38" s="49">
        <v>1</v>
      </c>
      <c r="BP38" s="49">
        <v>1</v>
      </c>
      <c r="BQ38" s="49">
        <v>1</v>
      </c>
      <c r="BR38" s="6">
        <v>0</v>
      </c>
      <c r="BS38" s="6">
        <v>0</v>
      </c>
      <c r="BT38" s="6">
        <v>1</v>
      </c>
      <c r="BU38" s="6">
        <v>0</v>
      </c>
      <c r="BV38" s="6">
        <v>1</v>
      </c>
      <c r="BW38" s="7">
        <v>0</v>
      </c>
    </row>
    <row r="39" spans="16:75" x14ac:dyDescent="0.3">
      <c r="P39" s="5">
        <v>0</v>
      </c>
      <c r="Q39" s="6">
        <v>1</v>
      </c>
      <c r="R39" s="6">
        <v>0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0</v>
      </c>
      <c r="AC39" s="6">
        <v>0</v>
      </c>
      <c r="AD39" s="45">
        <v>1</v>
      </c>
      <c r="AE39" s="5">
        <v>1</v>
      </c>
      <c r="AF39" s="6">
        <v>0</v>
      </c>
      <c r="AG39" s="6">
        <v>0</v>
      </c>
      <c r="AH39" s="6">
        <v>0</v>
      </c>
      <c r="AI39" s="6">
        <v>1</v>
      </c>
      <c r="AJ39" s="6">
        <v>1</v>
      </c>
      <c r="AK39" s="6">
        <v>1</v>
      </c>
      <c r="AL39" s="6">
        <v>1</v>
      </c>
      <c r="AM39" s="6">
        <v>0</v>
      </c>
      <c r="AN39" s="49">
        <v>1</v>
      </c>
      <c r="AO39" s="49">
        <v>1</v>
      </c>
      <c r="AP39" s="49">
        <v>1</v>
      </c>
      <c r="AQ39" s="6">
        <v>1</v>
      </c>
      <c r="AR39" s="6">
        <v>0</v>
      </c>
      <c r="AS39" s="7">
        <v>0</v>
      </c>
      <c r="AT39" s="5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1</v>
      </c>
      <c r="BH39" s="7">
        <v>0</v>
      </c>
      <c r="BI39" s="5">
        <v>0</v>
      </c>
      <c r="BJ39" s="6">
        <v>0</v>
      </c>
      <c r="BK39" s="49">
        <v>1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1</v>
      </c>
      <c r="BU39" s="6">
        <v>0</v>
      </c>
      <c r="BV39" s="6">
        <v>1</v>
      </c>
      <c r="BW39" s="7">
        <v>0</v>
      </c>
    </row>
    <row r="40" spans="16:75" x14ac:dyDescent="0.3">
      <c r="P40" s="5">
        <v>0</v>
      </c>
      <c r="Q40" s="6">
        <v>1</v>
      </c>
      <c r="R40" s="6">
        <v>0</v>
      </c>
      <c r="S40" s="6">
        <v>1</v>
      </c>
      <c r="T40" s="6">
        <v>0</v>
      </c>
      <c r="U40" s="6">
        <v>0</v>
      </c>
      <c r="V40" s="6">
        <v>0</v>
      </c>
      <c r="W40" s="6">
        <v>0</v>
      </c>
      <c r="X40" s="6">
        <v>0</v>
      </c>
      <c r="Y40" s="6">
        <v>1</v>
      </c>
      <c r="Z40" s="6">
        <v>0</v>
      </c>
      <c r="AA40" s="6">
        <v>0</v>
      </c>
      <c r="AB40" s="6">
        <v>0</v>
      </c>
      <c r="AC40" s="6">
        <v>1</v>
      </c>
      <c r="AD40" s="45">
        <v>1</v>
      </c>
      <c r="AE40" s="5">
        <v>1</v>
      </c>
      <c r="AF40" s="6">
        <v>0</v>
      </c>
      <c r="AG40" s="6">
        <v>1</v>
      </c>
      <c r="AH40" s="6">
        <v>1</v>
      </c>
      <c r="AI40" s="6">
        <v>1</v>
      </c>
      <c r="AJ40" s="6">
        <v>0</v>
      </c>
      <c r="AK40" s="6">
        <v>0</v>
      </c>
      <c r="AL40" s="6">
        <v>1</v>
      </c>
      <c r="AM40" s="6">
        <v>0</v>
      </c>
      <c r="AN40" s="49">
        <v>1</v>
      </c>
      <c r="AO40" s="6">
        <v>0</v>
      </c>
      <c r="AP40" s="6">
        <v>0</v>
      </c>
      <c r="AQ40" s="6">
        <v>0</v>
      </c>
      <c r="AR40" s="6">
        <v>0</v>
      </c>
      <c r="AS40" s="7">
        <v>1</v>
      </c>
      <c r="AT40" s="5">
        <v>1</v>
      </c>
      <c r="AU40" s="6">
        <v>0</v>
      </c>
      <c r="AV40" s="6">
        <v>0</v>
      </c>
      <c r="AW40" s="6">
        <v>0</v>
      </c>
      <c r="AX40" s="42">
        <v>1</v>
      </c>
      <c r="AY40" s="42">
        <v>1</v>
      </c>
      <c r="AZ40" s="42">
        <v>1</v>
      </c>
      <c r="BA40" s="42">
        <v>1</v>
      </c>
      <c r="BB40" s="6">
        <v>0</v>
      </c>
      <c r="BC40" s="6">
        <v>0</v>
      </c>
      <c r="BD40" s="6">
        <v>1</v>
      </c>
      <c r="BE40" s="6">
        <v>1</v>
      </c>
      <c r="BF40" s="6">
        <v>1</v>
      </c>
      <c r="BG40" s="49">
        <v>1</v>
      </c>
      <c r="BH40" s="50">
        <v>1</v>
      </c>
      <c r="BI40" s="51">
        <v>1</v>
      </c>
      <c r="BJ40" s="49">
        <v>1</v>
      </c>
      <c r="BK40" s="49">
        <v>1</v>
      </c>
      <c r="BL40" s="6">
        <v>0</v>
      </c>
      <c r="BM40" s="6">
        <v>1</v>
      </c>
      <c r="BN40" s="6">
        <v>1</v>
      </c>
      <c r="BO40" s="6">
        <v>1</v>
      </c>
      <c r="BP40" s="6">
        <v>0</v>
      </c>
      <c r="BQ40" s="6">
        <v>1</v>
      </c>
      <c r="BR40" s="6">
        <v>0</v>
      </c>
      <c r="BS40" s="6">
        <v>1</v>
      </c>
      <c r="BT40" s="6">
        <v>0</v>
      </c>
      <c r="BU40" s="6">
        <v>0</v>
      </c>
      <c r="BV40" s="6">
        <v>1</v>
      </c>
      <c r="BW40" s="7">
        <v>0</v>
      </c>
    </row>
    <row r="41" spans="16:75" x14ac:dyDescent="0.3">
      <c r="P41" s="5">
        <v>0</v>
      </c>
      <c r="Q41" s="6">
        <v>1</v>
      </c>
      <c r="R41" s="6">
        <v>0</v>
      </c>
      <c r="S41" s="6">
        <v>1</v>
      </c>
      <c r="T41" s="6">
        <v>0</v>
      </c>
      <c r="U41" s="6">
        <v>1</v>
      </c>
      <c r="V41" s="6">
        <v>1</v>
      </c>
      <c r="W41" s="6">
        <v>1</v>
      </c>
      <c r="X41" s="6">
        <v>0</v>
      </c>
      <c r="Y41" s="6">
        <v>1</v>
      </c>
      <c r="Z41" s="6">
        <v>0</v>
      </c>
      <c r="AA41" s="42">
        <v>1</v>
      </c>
      <c r="AB41" s="42">
        <v>1</v>
      </c>
      <c r="AC41" s="42">
        <v>1</v>
      </c>
      <c r="AD41" s="45">
        <v>1</v>
      </c>
      <c r="AE41" s="5">
        <v>1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1</v>
      </c>
      <c r="AM41" s="6">
        <v>0</v>
      </c>
      <c r="AN41" s="49">
        <v>1</v>
      </c>
      <c r="AO41" s="49">
        <v>1</v>
      </c>
      <c r="AP41" s="49">
        <v>1</v>
      </c>
      <c r="AQ41" s="49">
        <v>1</v>
      </c>
      <c r="AR41" s="49">
        <v>1</v>
      </c>
      <c r="AS41" s="50">
        <v>1</v>
      </c>
      <c r="AT41" s="51">
        <v>1</v>
      </c>
      <c r="AU41" s="49">
        <v>1</v>
      </c>
      <c r="AV41" s="6">
        <v>0</v>
      </c>
      <c r="AW41" s="6">
        <v>0</v>
      </c>
      <c r="AX41" s="42">
        <v>1</v>
      </c>
      <c r="AY41" s="6">
        <v>0</v>
      </c>
      <c r="AZ41" s="6">
        <v>0</v>
      </c>
      <c r="BA41" s="42">
        <v>1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49">
        <v>1</v>
      </c>
      <c r="BH41" s="7">
        <v>0</v>
      </c>
      <c r="BI41" s="5">
        <v>0</v>
      </c>
      <c r="BJ41" s="6">
        <v>0</v>
      </c>
      <c r="BK41" s="6">
        <v>0</v>
      </c>
      <c r="BL41" s="6">
        <v>0</v>
      </c>
      <c r="BM41" s="6">
        <v>1</v>
      </c>
      <c r="BN41" s="6">
        <v>0</v>
      </c>
      <c r="BO41" s="6">
        <v>1</v>
      </c>
      <c r="BP41" s="6">
        <v>0</v>
      </c>
      <c r="BQ41" s="6">
        <v>1</v>
      </c>
      <c r="BR41" s="6">
        <v>0</v>
      </c>
      <c r="BS41" s="6">
        <v>0</v>
      </c>
      <c r="BT41" s="6">
        <v>1</v>
      </c>
      <c r="BU41" s="6">
        <v>1</v>
      </c>
      <c r="BV41" s="6">
        <v>1</v>
      </c>
      <c r="BW41" s="7">
        <v>0</v>
      </c>
    </row>
    <row r="42" spans="16:75" x14ac:dyDescent="0.3">
      <c r="P42" s="5">
        <v>0</v>
      </c>
      <c r="Q42" s="6">
        <v>1</v>
      </c>
      <c r="R42" s="6">
        <v>0</v>
      </c>
      <c r="S42" s="6">
        <v>1</v>
      </c>
      <c r="T42" s="6">
        <v>1</v>
      </c>
      <c r="U42" s="6">
        <v>1</v>
      </c>
      <c r="V42" s="6">
        <v>0</v>
      </c>
      <c r="W42" s="6">
        <v>1</v>
      </c>
      <c r="X42" s="6">
        <v>0</v>
      </c>
      <c r="Y42" s="6">
        <v>0</v>
      </c>
      <c r="Z42" s="6">
        <v>0</v>
      </c>
      <c r="AA42" s="42">
        <v>1</v>
      </c>
      <c r="AB42" s="6">
        <v>0</v>
      </c>
      <c r="AC42" s="6">
        <v>0</v>
      </c>
      <c r="AD42" s="7">
        <v>1</v>
      </c>
      <c r="AE42" s="5">
        <v>1</v>
      </c>
      <c r="AF42" s="6">
        <v>1</v>
      </c>
      <c r="AG42" s="6">
        <v>1</v>
      </c>
      <c r="AH42" s="6">
        <v>1</v>
      </c>
      <c r="AI42" s="6">
        <v>1</v>
      </c>
      <c r="AJ42" s="6">
        <v>1</v>
      </c>
      <c r="AK42" s="6">
        <v>0</v>
      </c>
      <c r="AL42" s="6">
        <v>1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7">
        <v>0</v>
      </c>
      <c r="AT42" s="5">
        <v>0</v>
      </c>
      <c r="AU42" s="49">
        <v>1</v>
      </c>
      <c r="AV42" s="6">
        <v>0</v>
      </c>
      <c r="AW42" s="6">
        <v>1</v>
      </c>
      <c r="AX42" s="42">
        <v>1</v>
      </c>
      <c r="AY42" s="6">
        <v>0</v>
      </c>
      <c r="AZ42" s="6">
        <v>0</v>
      </c>
      <c r="BA42" s="42">
        <v>1</v>
      </c>
      <c r="BB42" s="49">
        <v>1</v>
      </c>
      <c r="BC42" s="49">
        <v>1</v>
      </c>
      <c r="BD42" s="49">
        <v>1</v>
      </c>
      <c r="BE42" s="49">
        <v>1</v>
      </c>
      <c r="BF42" s="49">
        <v>1</v>
      </c>
      <c r="BG42" s="49">
        <v>1</v>
      </c>
      <c r="BH42" s="7">
        <v>0</v>
      </c>
      <c r="BI42" s="5">
        <v>0</v>
      </c>
      <c r="BJ42" s="6">
        <v>1</v>
      </c>
      <c r="BK42" s="6">
        <v>1</v>
      </c>
      <c r="BL42" s="6">
        <v>1</v>
      </c>
      <c r="BM42" s="6">
        <v>1</v>
      </c>
      <c r="BN42" s="6">
        <v>0</v>
      </c>
      <c r="BO42" s="6">
        <v>1</v>
      </c>
      <c r="BP42" s="6">
        <v>1</v>
      </c>
      <c r="BQ42" s="6">
        <v>1</v>
      </c>
      <c r="BR42" s="6">
        <v>1</v>
      </c>
      <c r="BS42" s="6">
        <v>0</v>
      </c>
      <c r="BT42" s="6">
        <v>0</v>
      </c>
      <c r="BU42" s="6">
        <v>0</v>
      </c>
      <c r="BV42" s="6">
        <v>1</v>
      </c>
      <c r="BW42" s="7">
        <v>0</v>
      </c>
    </row>
    <row r="43" spans="16:75" x14ac:dyDescent="0.3">
      <c r="P43" s="5">
        <v>0</v>
      </c>
      <c r="Q43" s="6">
        <v>1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1</v>
      </c>
      <c r="X43" s="6">
        <v>0</v>
      </c>
      <c r="Y43" s="42">
        <v>1</v>
      </c>
      <c r="Z43" s="42">
        <v>1</v>
      </c>
      <c r="AA43" s="42">
        <v>1</v>
      </c>
      <c r="AB43" s="6">
        <v>0</v>
      </c>
      <c r="AC43" s="6">
        <v>0</v>
      </c>
      <c r="AD43" s="7">
        <v>0</v>
      </c>
      <c r="AE43" s="5">
        <v>0</v>
      </c>
      <c r="AF43" s="6">
        <v>0</v>
      </c>
      <c r="AG43" s="6">
        <v>0</v>
      </c>
      <c r="AH43" s="6">
        <v>0</v>
      </c>
      <c r="AI43" s="6">
        <v>0</v>
      </c>
      <c r="AJ43" s="6">
        <v>1</v>
      </c>
      <c r="AK43" s="6">
        <v>0</v>
      </c>
      <c r="AL43" s="6">
        <v>1</v>
      </c>
      <c r="AM43" s="6">
        <v>0</v>
      </c>
      <c r="AN43" s="42">
        <v>1</v>
      </c>
      <c r="AO43" s="42">
        <v>1</v>
      </c>
      <c r="AP43" s="42">
        <v>1</v>
      </c>
      <c r="AQ43" s="42">
        <v>1</v>
      </c>
      <c r="AR43" s="6">
        <v>0</v>
      </c>
      <c r="AS43" s="7">
        <v>0</v>
      </c>
      <c r="AT43" s="5">
        <v>0</v>
      </c>
      <c r="AU43" s="49">
        <v>1</v>
      </c>
      <c r="AV43" s="6">
        <v>0</v>
      </c>
      <c r="AW43" s="6">
        <v>0</v>
      </c>
      <c r="AX43" s="42">
        <v>1</v>
      </c>
      <c r="AY43" s="6">
        <v>0</v>
      </c>
      <c r="AZ43" s="6">
        <v>0</v>
      </c>
      <c r="BA43" s="42">
        <v>1</v>
      </c>
      <c r="BB43" s="6">
        <v>0</v>
      </c>
      <c r="BC43" s="6">
        <v>1</v>
      </c>
      <c r="BD43" s="6">
        <v>0</v>
      </c>
      <c r="BE43" s="6">
        <v>0</v>
      </c>
      <c r="BF43" s="6">
        <v>0</v>
      </c>
      <c r="BG43" s="6">
        <v>1</v>
      </c>
      <c r="BH43" s="7">
        <v>0</v>
      </c>
      <c r="BI43" s="5">
        <v>0</v>
      </c>
      <c r="BJ43" s="6">
        <v>1</v>
      </c>
      <c r="BK43" s="6">
        <v>0</v>
      </c>
      <c r="BL43" s="6">
        <v>0</v>
      </c>
      <c r="BM43" s="6">
        <v>0</v>
      </c>
      <c r="BN43" s="6">
        <v>0</v>
      </c>
      <c r="BO43" s="6">
        <v>0</v>
      </c>
      <c r="BP43" s="6">
        <v>0</v>
      </c>
      <c r="BQ43" s="6">
        <v>0</v>
      </c>
      <c r="BR43" s="6">
        <v>1</v>
      </c>
      <c r="BS43" s="6">
        <v>0</v>
      </c>
      <c r="BT43" s="6">
        <v>1</v>
      </c>
      <c r="BU43" s="6">
        <v>0</v>
      </c>
      <c r="BV43" s="6">
        <v>0</v>
      </c>
      <c r="BW43" s="7">
        <v>0</v>
      </c>
    </row>
    <row r="44" spans="16:75" x14ac:dyDescent="0.3">
      <c r="P44" s="5">
        <v>0</v>
      </c>
      <c r="Q44" s="6">
        <v>1</v>
      </c>
      <c r="R44" s="6">
        <v>0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0</v>
      </c>
      <c r="Y44" s="42">
        <v>1</v>
      </c>
      <c r="Z44" s="6">
        <v>0</v>
      </c>
      <c r="AA44" s="6">
        <v>1</v>
      </c>
      <c r="AB44" s="6">
        <v>0</v>
      </c>
      <c r="AC44" s="6">
        <v>1</v>
      </c>
      <c r="AD44" s="7">
        <v>1</v>
      </c>
      <c r="AE44" s="5">
        <v>1</v>
      </c>
      <c r="AF44" s="6">
        <v>1</v>
      </c>
      <c r="AG44" s="6">
        <v>1</v>
      </c>
      <c r="AH44" s="6">
        <v>1</v>
      </c>
      <c r="AI44" s="6">
        <v>0</v>
      </c>
      <c r="AJ44" s="6">
        <v>1</v>
      </c>
      <c r="AK44" s="6">
        <v>0</v>
      </c>
      <c r="AL44" s="6">
        <v>1</v>
      </c>
      <c r="AM44" s="6">
        <v>0</v>
      </c>
      <c r="AN44" s="42">
        <v>1</v>
      </c>
      <c r="AO44" s="6">
        <v>0</v>
      </c>
      <c r="AP44" s="6">
        <v>0</v>
      </c>
      <c r="AQ44" s="42">
        <v>1</v>
      </c>
      <c r="AR44" s="6">
        <v>0</v>
      </c>
      <c r="AS44" s="7">
        <v>1</v>
      </c>
      <c r="AT44" s="5">
        <v>1</v>
      </c>
      <c r="AU44" s="49">
        <v>1</v>
      </c>
      <c r="AV44" s="6">
        <v>0</v>
      </c>
      <c r="AW44" s="6">
        <v>0</v>
      </c>
      <c r="AX44" s="42">
        <v>1</v>
      </c>
      <c r="AY44" s="6">
        <v>0</v>
      </c>
      <c r="AZ44" s="6">
        <v>0</v>
      </c>
      <c r="BA44" s="42">
        <v>1</v>
      </c>
      <c r="BB44" s="6">
        <v>0</v>
      </c>
      <c r="BC44" s="6">
        <v>1</v>
      </c>
      <c r="BD44" s="6">
        <v>0</v>
      </c>
      <c r="BE44" s="6">
        <v>0</v>
      </c>
      <c r="BF44" s="6">
        <v>0</v>
      </c>
      <c r="BG44" s="6">
        <v>0</v>
      </c>
      <c r="BH44" s="7">
        <v>0</v>
      </c>
      <c r="BI44" s="5">
        <v>0</v>
      </c>
      <c r="BJ44" s="6">
        <v>1</v>
      </c>
      <c r="BK44" s="6">
        <v>1</v>
      </c>
      <c r="BL44" s="6">
        <v>0</v>
      </c>
      <c r="BM44" s="6">
        <v>1</v>
      </c>
      <c r="BN44" s="6">
        <v>1</v>
      </c>
      <c r="BO44" s="6">
        <v>1</v>
      </c>
      <c r="BP44" s="6">
        <v>1</v>
      </c>
      <c r="BQ44" s="6">
        <v>0</v>
      </c>
      <c r="BR44" s="6">
        <v>1</v>
      </c>
      <c r="BS44" s="6">
        <v>1</v>
      </c>
      <c r="BT44" s="6">
        <v>1</v>
      </c>
      <c r="BU44" s="6">
        <v>1</v>
      </c>
      <c r="BV44" s="6">
        <v>1</v>
      </c>
      <c r="BW44" s="7">
        <v>0</v>
      </c>
    </row>
    <row r="45" spans="16:75" x14ac:dyDescent="0.3">
      <c r="P45" s="5">
        <v>0</v>
      </c>
      <c r="Q45" s="6">
        <v>1</v>
      </c>
      <c r="R45" s="6">
        <v>0</v>
      </c>
      <c r="S45" s="6">
        <v>1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42">
        <v>1</v>
      </c>
      <c r="Z45" s="6">
        <v>0</v>
      </c>
      <c r="AA45" s="6">
        <v>0</v>
      </c>
      <c r="AB45" s="6">
        <v>0</v>
      </c>
      <c r="AC45" s="6">
        <v>0</v>
      </c>
      <c r="AD45" s="7">
        <v>0</v>
      </c>
      <c r="AE45" s="5">
        <v>0</v>
      </c>
      <c r="AF45" s="6">
        <v>0</v>
      </c>
      <c r="AG45" s="6">
        <v>0</v>
      </c>
      <c r="AH45" s="6">
        <v>1</v>
      </c>
      <c r="AI45" s="6">
        <v>0</v>
      </c>
      <c r="AJ45" s="6">
        <v>1</v>
      </c>
      <c r="AK45" s="6">
        <v>0</v>
      </c>
      <c r="AL45" s="6">
        <v>1</v>
      </c>
      <c r="AM45" s="6">
        <v>0</v>
      </c>
      <c r="AN45" s="42">
        <v>1</v>
      </c>
      <c r="AO45" s="6">
        <v>0</v>
      </c>
      <c r="AP45" s="6">
        <v>0</v>
      </c>
      <c r="AQ45" s="42">
        <v>1</v>
      </c>
      <c r="AR45" s="6">
        <v>0</v>
      </c>
      <c r="AS45" s="7">
        <v>0</v>
      </c>
      <c r="AT45" s="5">
        <v>0</v>
      </c>
      <c r="AU45" s="49">
        <v>1</v>
      </c>
      <c r="AV45" s="6">
        <v>0</v>
      </c>
      <c r="AW45" s="6">
        <v>0</v>
      </c>
      <c r="AX45" s="42">
        <v>1</v>
      </c>
      <c r="AY45" s="6">
        <v>0</v>
      </c>
      <c r="AZ45" s="6">
        <v>0</v>
      </c>
      <c r="BA45" s="42">
        <v>1</v>
      </c>
      <c r="BB45" s="6">
        <v>0</v>
      </c>
      <c r="BC45" s="6">
        <v>1</v>
      </c>
      <c r="BD45" s="6">
        <v>1</v>
      </c>
      <c r="BE45" s="6">
        <v>1</v>
      </c>
      <c r="BF45" s="6">
        <v>1</v>
      </c>
      <c r="BG45" s="6">
        <v>1</v>
      </c>
      <c r="BH45" s="7">
        <v>1</v>
      </c>
      <c r="BI45" s="5">
        <v>1</v>
      </c>
      <c r="BJ45" s="6">
        <v>1</v>
      </c>
      <c r="BK45" s="6">
        <v>0</v>
      </c>
      <c r="BL45" s="6">
        <v>0</v>
      </c>
      <c r="BM45" s="6">
        <v>1</v>
      </c>
      <c r="BN45" s="6">
        <v>0</v>
      </c>
      <c r="BO45" s="6">
        <v>0</v>
      </c>
      <c r="BP45" s="6">
        <v>1</v>
      </c>
      <c r="BQ45" s="6">
        <v>0</v>
      </c>
      <c r="BR45" s="6">
        <v>0</v>
      </c>
      <c r="BS45" s="6">
        <v>0</v>
      </c>
      <c r="BT45" s="6">
        <v>0</v>
      </c>
      <c r="BU45" s="6">
        <v>0</v>
      </c>
      <c r="BV45" s="6">
        <v>1</v>
      </c>
      <c r="BW45" s="7">
        <v>0</v>
      </c>
    </row>
    <row r="46" spans="16:75" x14ac:dyDescent="0.3">
      <c r="P46" s="5">
        <v>0</v>
      </c>
      <c r="Q46" s="6">
        <v>1</v>
      </c>
      <c r="R46" s="6">
        <v>0</v>
      </c>
      <c r="S46" s="6">
        <v>1</v>
      </c>
      <c r="T46" s="6">
        <v>1</v>
      </c>
      <c r="U46" s="6">
        <v>1</v>
      </c>
      <c r="V46" s="6">
        <v>0</v>
      </c>
      <c r="W46" s="6">
        <v>1</v>
      </c>
      <c r="X46" s="6">
        <v>0</v>
      </c>
      <c r="Y46" s="42">
        <v>1</v>
      </c>
      <c r="Z46" s="6">
        <v>0</v>
      </c>
      <c r="AA46" s="6">
        <v>0</v>
      </c>
      <c r="AB46" s="6">
        <v>1</v>
      </c>
      <c r="AC46" s="6">
        <v>1</v>
      </c>
      <c r="AD46" s="7">
        <v>1</v>
      </c>
      <c r="AE46" s="5">
        <v>1</v>
      </c>
      <c r="AF46" s="6">
        <v>1</v>
      </c>
      <c r="AG46" s="6">
        <v>0</v>
      </c>
      <c r="AH46" s="6">
        <v>1</v>
      </c>
      <c r="AI46" s="6">
        <v>0</v>
      </c>
      <c r="AJ46" s="6">
        <v>1</v>
      </c>
      <c r="AK46" s="6">
        <v>0</v>
      </c>
      <c r="AL46" s="6">
        <v>1</v>
      </c>
      <c r="AM46" s="6">
        <v>0</v>
      </c>
      <c r="AN46" s="42">
        <v>1</v>
      </c>
      <c r="AO46" s="6">
        <v>0</v>
      </c>
      <c r="AP46" s="42">
        <v>1</v>
      </c>
      <c r="AQ46" s="42">
        <v>1</v>
      </c>
      <c r="AR46" s="6">
        <v>1</v>
      </c>
      <c r="AS46" s="7">
        <v>0</v>
      </c>
      <c r="AT46" s="5">
        <v>0</v>
      </c>
      <c r="AU46" s="42">
        <v>1</v>
      </c>
      <c r="AV46" s="42">
        <v>1</v>
      </c>
      <c r="AW46" s="42">
        <v>1</v>
      </c>
      <c r="AX46" s="42">
        <v>1</v>
      </c>
      <c r="AY46" s="6">
        <v>0</v>
      </c>
      <c r="AZ46" s="6">
        <v>0</v>
      </c>
      <c r="BA46" s="42">
        <v>1</v>
      </c>
      <c r="BB46" s="6">
        <v>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7">
        <v>0</v>
      </c>
      <c r="BI46" s="5">
        <v>0</v>
      </c>
      <c r="BJ46" s="6">
        <v>0</v>
      </c>
      <c r="BK46" s="6">
        <v>0</v>
      </c>
      <c r="BL46" s="6">
        <v>0</v>
      </c>
      <c r="BM46" s="6">
        <v>1</v>
      </c>
      <c r="BN46" s="6">
        <v>0</v>
      </c>
      <c r="BO46" s="6">
        <v>0</v>
      </c>
      <c r="BP46" s="6">
        <v>1</v>
      </c>
      <c r="BQ46" s="6">
        <v>0</v>
      </c>
      <c r="BR46" s="6">
        <v>0</v>
      </c>
      <c r="BS46" s="6">
        <v>0</v>
      </c>
      <c r="BT46" s="6">
        <v>1</v>
      </c>
      <c r="BU46" s="6">
        <v>1</v>
      </c>
      <c r="BV46" s="6">
        <v>1</v>
      </c>
      <c r="BW46" s="7">
        <v>0</v>
      </c>
    </row>
    <row r="47" spans="16:75" x14ac:dyDescent="0.3">
      <c r="P47" s="5">
        <v>0</v>
      </c>
      <c r="Q47" s="6">
        <v>1</v>
      </c>
      <c r="R47" s="6">
        <v>0</v>
      </c>
      <c r="S47" s="6">
        <v>0</v>
      </c>
      <c r="T47" s="6">
        <v>0</v>
      </c>
      <c r="U47" s="6">
        <v>1</v>
      </c>
      <c r="V47" s="6">
        <v>0</v>
      </c>
      <c r="W47" s="6">
        <v>1</v>
      </c>
      <c r="X47" s="42">
        <v>1</v>
      </c>
      <c r="Y47" s="42">
        <v>1</v>
      </c>
      <c r="Z47" s="6">
        <v>1</v>
      </c>
      <c r="AA47" s="6">
        <v>0</v>
      </c>
      <c r="AB47" s="6">
        <v>1</v>
      </c>
      <c r="AC47" s="6">
        <v>1</v>
      </c>
      <c r="AD47" s="7">
        <v>0</v>
      </c>
      <c r="AE47" s="5">
        <v>0</v>
      </c>
      <c r="AF47" s="6">
        <v>1</v>
      </c>
      <c r="AG47" s="6">
        <v>0</v>
      </c>
      <c r="AH47" s="6">
        <v>1</v>
      </c>
      <c r="AI47" s="6">
        <v>1</v>
      </c>
      <c r="AJ47" s="6">
        <v>1</v>
      </c>
      <c r="AK47" s="6">
        <v>0</v>
      </c>
      <c r="AL47" s="6">
        <v>1</v>
      </c>
      <c r="AM47" s="6">
        <v>0</v>
      </c>
      <c r="AN47" s="42">
        <v>1</v>
      </c>
      <c r="AO47" s="6">
        <v>0</v>
      </c>
      <c r="AP47" s="42">
        <v>1</v>
      </c>
      <c r="AQ47" s="6">
        <v>0</v>
      </c>
      <c r="AR47" s="6">
        <v>0</v>
      </c>
      <c r="AS47" s="7">
        <v>0</v>
      </c>
      <c r="AT47" s="5">
        <v>0</v>
      </c>
      <c r="AU47" s="42">
        <v>1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42">
        <v>1</v>
      </c>
      <c r="BB47" s="6">
        <v>0</v>
      </c>
      <c r="BC47" s="6">
        <v>0</v>
      </c>
      <c r="BD47" s="6">
        <v>1</v>
      </c>
      <c r="BE47" s="6">
        <v>1</v>
      </c>
      <c r="BF47" s="6">
        <v>1</v>
      </c>
      <c r="BG47" s="6">
        <v>1</v>
      </c>
      <c r="BH47" s="7">
        <v>1</v>
      </c>
      <c r="BI47" s="5">
        <v>1</v>
      </c>
      <c r="BJ47" s="6">
        <v>1</v>
      </c>
      <c r="BK47" s="6">
        <v>1</v>
      </c>
      <c r="BL47" s="6">
        <v>1</v>
      </c>
      <c r="BM47" s="6">
        <v>1</v>
      </c>
      <c r="BN47" s="6">
        <v>0</v>
      </c>
      <c r="BO47" s="6">
        <v>1</v>
      </c>
      <c r="BP47" s="6">
        <v>1</v>
      </c>
      <c r="BQ47" s="6">
        <v>1</v>
      </c>
      <c r="BR47" s="6">
        <v>1</v>
      </c>
      <c r="BS47" s="6">
        <v>1</v>
      </c>
      <c r="BT47" s="6">
        <v>1</v>
      </c>
      <c r="BU47" s="6">
        <v>0</v>
      </c>
      <c r="BV47" s="6">
        <v>0</v>
      </c>
      <c r="BW47" s="7">
        <v>0</v>
      </c>
    </row>
    <row r="48" spans="16:75" ht="15" thickBot="1" x14ac:dyDescent="0.35">
      <c r="P48" s="8">
        <v>0</v>
      </c>
      <c r="Q48" s="9">
        <v>1</v>
      </c>
      <c r="R48" s="9">
        <v>0</v>
      </c>
      <c r="S48" s="9">
        <v>1</v>
      </c>
      <c r="T48" s="9">
        <v>0</v>
      </c>
      <c r="U48" s="9">
        <v>1</v>
      </c>
      <c r="V48" s="9">
        <v>0</v>
      </c>
      <c r="W48" s="9">
        <v>0</v>
      </c>
      <c r="X48" s="43">
        <v>1</v>
      </c>
      <c r="Y48" s="9">
        <v>0</v>
      </c>
      <c r="Z48" s="9">
        <v>1</v>
      </c>
      <c r="AA48" s="9">
        <v>0</v>
      </c>
      <c r="AB48" s="9">
        <v>1</v>
      </c>
      <c r="AC48" s="9">
        <v>0</v>
      </c>
      <c r="AD48" s="10">
        <v>0</v>
      </c>
      <c r="AE48" s="8">
        <v>0</v>
      </c>
      <c r="AF48" s="9">
        <v>1</v>
      </c>
      <c r="AG48" s="9">
        <v>0</v>
      </c>
      <c r="AH48" s="9">
        <v>0</v>
      </c>
      <c r="AI48" s="9">
        <v>0</v>
      </c>
      <c r="AJ48" s="9">
        <v>0</v>
      </c>
      <c r="AK48" s="9">
        <v>0</v>
      </c>
      <c r="AL48" s="9">
        <v>1</v>
      </c>
      <c r="AM48" s="9">
        <v>0</v>
      </c>
      <c r="AN48" s="43">
        <v>1</v>
      </c>
      <c r="AO48" s="9">
        <v>0</v>
      </c>
      <c r="AP48" s="43">
        <v>1</v>
      </c>
      <c r="AQ48" s="43">
        <v>1</v>
      </c>
      <c r="AR48" s="43">
        <v>1</v>
      </c>
      <c r="AS48" s="47">
        <v>1</v>
      </c>
      <c r="AT48" s="48">
        <v>1</v>
      </c>
      <c r="AU48" s="43">
        <v>1</v>
      </c>
      <c r="AV48" s="9">
        <v>0</v>
      </c>
      <c r="AW48" s="9">
        <v>0</v>
      </c>
      <c r="AX48" s="9">
        <v>1</v>
      </c>
      <c r="AY48" s="9">
        <v>0</v>
      </c>
      <c r="AZ48" s="9">
        <v>0</v>
      </c>
      <c r="BA48" s="43">
        <v>1</v>
      </c>
      <c r="BB48" s="9">
        <v>0</v>
      </c>
      <c r="BC48" s="9">
        <v>0</v>
      </c>
      <c r="BD48" s="9">
        <v>1</v>
      </c>
      <c r="BE48" s="9">
        <v>0</v>
      </c>
      <c r="BF48" s="9">
        <v>0</v>
      </c>
      <c r="BG48" s="9">
        <v>0</v>
      </c>
      <c r="BH48" s="10">
        <v>1</v>
      </c>
      <c r="BI48" s="8">
        <v>1</v>
      </c>
      <c r="BJ48" s="9">
        <v>0</v>
      </c>
      <c r="BK48" s="9">
        <v>1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>
        <v>0</v>
      </c>
      <c r="BT48" s="9">
        <v>1</v>
      </c>
      <c r="BU48" s="9">
        <v>0</v>
      </c>
      <c r="BV48" s="9">
        <v>1</v>
      </c>
      <c r="BW48" s="10">
        <v>0</v>
      </c>
    </row>
    <row r="49" spans="16:90" x14ac:dyDescent="0.3">
      <c r="P49" s="2">
        <v>0</v>
      </c>
      <c r="Q49" s="3">
        <v>1</v>
      </c>
      <c r="R49" s="3">
        <v>0</v>
      </c>
      <c r="S49" s="3">
        <v>1</v>
      </c>
      <c r="T49" s="3">
        <v>0</v>
      </c>
      <c r="U49" s="3">
        <v>1</v>
      </c>
      <c r="V49" s="3">
        <v>0</v>
      </c>
      <c r="W49" s="3">
        <v>0</v>
      </c>
      <c r="X49" s="44">
        <v>1</v>
      </c>
      <c r="Y49" s="3">
        <v>0</v>
      </c>
      <c r="Z49" s="3">
        <v>1</v>
      </c>
      <c r="AA49" s="3">
        <v>0</v>
      </c>
      <c r="AB49" s="3">
        <v>1</v>
      </c>
      <c r="AC49" s="3">
        <v>0</v>
      </c>
      <c r="AD49" s="4">
        <v>0</v>
      </c>
      <c r="AE49" s="2">
        <v>0</v>
      </c>
      <c r="AF49" s="3">
        <v>1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1</v>
      </c>
      <c r="AM49" s="3">
        <v>0</v>
      </c>
      <c r="AN49" s="44">
        <v>1</v>
      </c>
      <c r="AO49" s="3">
        <v>0</v>
      </c>
      <c r="AP49" s="3">
        <v>1</v>
      </c>
      <c r="AQ49" s="3">
        <v>1</v>
      </c>
      <c r="AR49" s="3">
        <v>1</v>
      </c>
      <c r="AS49" s="4">
        <v>1</v>
      </c>
      <c r="AT49" s="2">
        <v>1</v>
      </c>
      <c r="AU49" s="3">
        <v>1</v>
      </c>
      <c r="AV49" s="3">
        <v>0</v>
      </c>
      <c r="AW49" s="3">
        <v>0</v>
      </c>
      <c r="AX49" s="3">
        <v>1</v>
      </c>
      <c r="AY49" s="3">
        <v>0</v>
      </c>
      <c r="AZ49" s="3">
        <v>0</v>
      </c>
      <c r="BA49" s="44">
        <v>1</v>
      </c>
      <c r="BB49" s="3">
        <v>0</v>
      </c>
      <c r="BC49" s="3">
        <v>0</v>
      </c>
      <c r="BD49" s="3">
        <v>1</v>
      </c>
      <c r="BE49" s="3">
        <v>0</v>
      </c>
      <c r="BF49" s="3">
        <v>0</v>
      </c>
      <c r="BG49" s="3">
        <v>0</v>
      </c>
      <c r="BH49" s="4">
        <v>1</v>
      </c>
      <c r="BI49" s="2">
        <v>1</v>
      </c>
      <c r="BJ49" s="3">
        <v>0</v>
      </c>
      <c r="BK49" s="3">
        <v>1</v>
      </c>
      <c r="BL49" s="3">
        <v>0</v>
      </c>
      <c r="BM49" s="3">
        <v>0</v>
      </c>
      <c r="BN49" s="3">
        <v>0</v>
      </c>
      <c r="BO49" s="3">
        <v>0</v>
      </c>
      <c r="BP49" s="3">
        <v>0</v>
      </c>
      <c r="BQ49" s="3">
        <v>0</v>
      </c>
      <c r="BR49" s="3">
        <v>0</v>
      </c>
      <c r="BS49" s="3">
        <v>0</v>
      </c>
      <c r="BT49" s="3">
        <v>1</v>
      </c>
      <c r="BU49" s="3">
        <v>0</v>
      </c>
      <c r="BV49" s="3">
        <v>1</v>
      </c>
      <c r="BW49" s="4">
        <v>0</v>
      </c>
    </row>
    <row r="50" spans="16:90" x14ac:dyDescent="0.3">
      <c r="P50" s="5">
        <v>0</v>
      </c>
      <c r="Q50" s="6">
        <v>1</v>
      </c>
      <c r="R50" s="6">
        <v>0</v>
      </c>
      <c r="S50" s="6">
        <v>1</v>
      </c>
      <c r="T50" s="6">
        <v>1</v>
      </c>
      <c r="U50" s="6">
        <v>1</v>
      </c>
      <c r="V50" s="6">
        <v>0</v>
      </c>
      <c r="W50" s="6">
        <v>0</v>
      </c>
      <c r="X50" s="42">
        <v>1</v>
      </c>
      <c r="Y50" s="6">
        <v>0</v>
      </c>
      <c r="Z50" s="6">
        <v>1</v>
      </c>
      <c r="AA50" s="6">
        <v>0</v>
      </c>
      <c r="AB50" s="6">
        <v>1</v>
      </c>
      <c r="AC50" s="6">
        <v>1</v>
      </c>
      <c r="AD50" s="7">
        <v>0</v>
      </c>
      <c r="AE50" s="5">
        <v>0</v>
      </c>
      <c r="AF50" s="6">
        <v>1</v>
      </c>
      <c r="AG50" s="6">
        <v>1</v>
      </c>
      <c r="AH50" s="6">
        <v>1</v>
      </c>
      <c r="AI50" s="6">
        <v>1</v>
      </c>
      <c r="AJ50" s="6">
        <v>1</v>
      </c>
      <c r="AK50" s="6">
        <v>1</v>
      </c>
      <c r="AL50" s="6">
        <v>1</v>
      </c>
      <c r="AM50" s="6">
        <v>0</v>
      </c>
      <c r="AN50" s="42">
        <v>1</v>
      </c>
      <c r="AO50" s="6">
        <v>0</v>
      </c>
      <c r="AP50" s="6">
        <v>0</v>
      </c>
      <c r="AQ50" s="6">
        <v>0</v>
      </c>
      <c r="AR50" s="6">
        <v>0</v>
      </c>
      <c r="AS50" s="7">
        <v>0</v>
      </c>
      <c r="AT50" s="5">
        <v>0</v>
      </c>
      <c r="AU50" s="6">
        <v>0</v>
      </c>
      <c r="AV50" s="6">
        <v>0</v>
      </c>
      <c r="AW50" s="6">
        <v>0</v>
      </c>
      <c r="AX50" s="42">
        <v>1</v>
      </c>
      <c r="AY50" s="42">
        <v>1</v>
      </c>
      <c r="AZ50" s="42">
        <v>1</v>
      </c>
      <c r="BA50" s="42">
        <v>1</v>
      </c>
      <c r="BB50" s="6">
        <v>0</v>
      </c>
      <c r="BC50" s="6">
        <v>0</v>
      </c>
      <c r="BD50" s="6">
        <v>0</v>
      </c>
      <c r="BE50" s="6">
        <v>0</v>
      </c>
      <c r="BF50" s="6">
        <v>1</v>
      </c>
      <c r="BG50" s="6">
        <v>1</v>
      </c>
      <c r="BH50" s="7">
        <v>0</v>
      </c>
      <c r="BI50" s="5">
        <v>0</v>
      </c>
      <c r="BJ50" s="6">
        <v>0</v>
      </c>
      <c r="BK50" s="6">
        <v>0</v>
      </c>
      <c r="BL50" s="6">
        <v>0</v>
      </c>
      <c r="BM50" s="6">
        <v>0</v>
      </c>
      <c r="BN50" s="6">
        <v>0</v>
      </c>
      <c r="BO50" s="6">
        <v>0</v>
      </c>
      <c r="BP50" s="6">
        <v>1</v>
      </c>
      <c r="BQ50" s="6">
        <v>1</v>
      </c>
      <c r="BR50" s="6">
        <v>1</v>
      </c>
      <c r="BS50" s="6">
        <v>0</v>
      </c>
      <c r="BT50" s="6">
        <v>1</v>
      </c>
      <c r="BU50" s="6">
        <v>1</v>
      </c>
      <c r="BV50" s="6">
        <v>1</v>
      </c>
      <c r="BW50" s="7">
        <v>0</v>
      </c>
    </row>
    <row r="51" spans="16:90" x14ac:dyDescent="0.3">
      <c r="P51" s="5">
        <v>0</v>
      </c>
      <c r="Q51" s="6">
        <v>1</v>
      </c>
      <c r="R51" s="6">
        <v>0</v>
      </c>
      <c r="S51" s="6">
        <v>1</v>
      </c>
      <c r="T51" s="6">
        <v>0</v>
      </c>
      <c r="U51" s="6">
        <v>0</v>
      </c>
      <c r="V51" s="6">
        <v>0</v>
      </c>
      <c r="W51" s="6">
        <v>0</v>
      </c>
      <c r="X51" s="42">
        <v>1</v>
      </c>
      <c r="Y51" s="6">
        <v>0</v>
      </c>
      <c r="Z51" s="6">
        <v>1</v>
      </c>
      <c r="AA51" s="6">
        <v>0</v>
      </c>
      <c r="AB51" s="6">
        <v>1</v>
      </c>
      <c r="AC51" s="6">
        <v>0</v>
      </c>
      <c r="AD51" s="7">
        <v>0</v>
      </c>
      <c r="AE51" s="5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42">
        <v>1</v>
      </c>
      <c r="AO51" s="6">
        <v>0</v>
      </c>
      <c r="AP51" s="6">
        <v>0</v>
      </c>
      <c r="AQ51" s="6">
        <v>1</v>
      </c>
      <c r="AR51" s="6">
        <v>0</v>
      </c>
      <c r="AS51" s="7">
        <v>0</v>
      </c>
      <c r="AT51" s="5">
        <v>0</v>
      </c>
      <c r="AU51" s="6">
        <v>0</v>
      </c>
      <c r="AV51" s="6">
        <v>1</v>
      </c>
      <c r="AW51" s="6">
        <v>0</v>
      </c>
      <c r="AX51" s="42">
        <v>1</v>
      </c>
      <c r="AY51" s="6">
        <v>0</v>
      </c>
      <c r="AZ51" s="6">
        <v>0</v>
      </c>
      <c r="BA51" s="6">
        <v>1</v>
      </c>
      <c r="BB51" s="6">
        <v>1</v>
      </c>
      <c r="BC51" s="6">
        <v>1</v>
      </c>
      <c r="BD51" s="6">
        <v>1</v>
      </c>
      <c r="BE51" s="6">
        <v>1</v>
      </c>
      <c r="BF51" s="6">
        <v>1</v>
      </c>
      <c r="BG51" s="6">
        <v>1</v>
      </c>
      <c r="BH51" s="7">
        <v>0</v>
      </c>
      <c r="BI51" s="5">
        <v>0</v>
      </c>
      <c r="BJ51" s="6">
        <v>1</v>
      </c>
      <c r="BK51" s="6">
        <v>1</v>
      </c>
      <c r="BL51" s="6">
        <v>1</v>
      </c>
      <c r="BM51" s="6">
        <v>1</v>
      </c>
      <c r="BN51" s="6">
        <v>0</v>
      </c>
      <c r="BO51" s="6">
        <v>0</v>
      </c>
      <c r="BP51" s="6">
        <v>1</v>
      </c>
      <c r="BQ51" s="6">
        <v>0</v>
      </c>
      <c r="BR51" s="6">
        <v>0</v>
      </c>
      <c r="BS51" s="6">
        <v>0</v>
      </c>
      <c r="BT51" s="6">
        <v>0</v>
      </c>
      <c r="BU51" s="6">
        <v>0</v>
      </c>
      <c r="BV51" s="6">
        <v>0</v>
      </c>
      <c r="BW51" s="7">
        <v>0</v>
      </c>
    </row>
    <row r="52" spans="16:90" x14ac:dyDescent="0.3">
      <c r="P52" s="5">
        <v>0</v>
      </c>
      <c r="Q52" s="6">
        <v>1</v>
      </c>
      <c r="R52" s="6">
        <v>0</v>
      </c>
      <c r="S52" s="6">
        <v>1</v>
      </c>
      <c r="T52" s="6">
        <v>0</v>
      </c>
      <c r="U52" s="6">
        <v>0</v>
      </c>
      <c r="V52" s="6">
        <v>0</v>
      </c>
      <c r="W52" s="6">
        <v>0</v>
      </c>
      <c r="X52" s="42">
        <v>1</v>
      </c>
      <c r="Y52" s="6">
        <v>0</v>
      </c>
      <c r="Z52" s="6">
        <v>1</v>
      </c>
      <c r="AA52" s="6">
        <v>0</v>
      </c>
      <c r="AB52" s="6">
        <v>1</v>
      </c>
      <c r="AC52" s="6">
        <v>1</v>
      </c>
      <c r="AD52" s="7">
        <v>1</v>
      </c>
      <c r="AE52" s="5">
        <v>1</v>
      </c>
      <c r="AF52" s="6">
        <v>1</v>
      </c>
      <c r="AG52" s="6">
        <v>0</v>
      </c>
      <c r="AH52" s="42">
        <v>1</v>
      </c>
      <c r="AI52" s="42">
        <v>1</v>
      </c>
      <c r="AJ52" s="42">
        <v>1</v>
      </c>
      <c r="AK52" s="42">
        <v>1</v>
      </c>
      <c r="AL52" s="42">
        <v>1</v>
      </c>
      <c r="AM52" s="42">
        <v>1</v>
      </c>
      <c r="AN52" s="42">
        <v>1</v>
      </c>
      <c r="AO52" s="6">
        <v>0</v>
      </c>
      <c r="AP52" s="6">
        <v>0</v>
      </c>
      <c r="AQ52" s="6">
        <v>1</v>
      </c>
      <c r="AR52" s="6">
        <v>1</v>
      </c>
      <c r="AS52" s="7">
        <v>1</v>
      </c>
      <c r="AT52" s="5">
        <v>1</v>
      </c>
      <c r="AU52" s="6">
        <v>1</v>
      </c>
      <c r="AV52" s="6">
        <v>1</v>
      </c>
      <c r="AW52" s="6">
        <v>1</v>
      </c>
      <c r="AX52" s="42">
        <v>1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1</v>
      </c>
      <c r="BE52" s="6">
        <v>0</v>
      </c>
      <c r="BF52" s="6">
        <v>0</v>
      </c>
      <c r="BG52" s="6">
        <v>1</v>
      </c>
      <c r="BH52" s="7">
        <v>0</v>
      </c>
      <c r="BI52" s="5">
        <v>0</v>
      </c>
      <c r="BJ52" s="6">
        <v>1</v>
      </c>
      <c r="BK52" s="6">
        <v>0</v>
      </c>
      <c r="BL52" s="6">
        <v>0</v>
      </c>
      <c r="BM52" s="6">
        <v>1</v>
      </c>
      <c r="BN52" s="6">
        <v>0</v>
      </c>
      <c r="BO52" s="6">
        <v>1</v>
      </c>
      <c r="BP52" s="6">
        <v>1</v>
      </c>
      <c r="BQ52" s="6">
        <v>1</v>
      </c>
      <c r="BR52" s="6">
        <v>0</v>
      </c>
      <c r="BS52" s="6">
        <v>1</v>
      </c>
      <c r="BT52" s="6">
        <v>1</v>
      </c>
      <c r="BU52" s="6">
        <v>1</v>
      </c>
      <c r="BV52" s="6">
        <v>1</v>
      </c>
      <c r="BW52" s="7">
        <v>0</v>
      </c>
    </row>
    <row r="53" spans="16:90" x14ac:dyDescent="0.3">
      <c r="P53" s="5">
        <v>0</v>
      </c>
      <c r="Q53" s="6">
        <v>1</v>
      </c>
      <c r="R53" s="6">
        <v>0</v>
      </c>
      <c r="S53" s="6">
        <v>0</v>
      </c>
      <c r="T53" s="6">
        <v>1</v>
      </c>
      <c r="U53" s="6">
        <v>1</v>
      </c>
      <c r="V53" s="6">
        <v>1</v>
      </c>
      <c r="W53" s="6">
        <v>1</v>
      </c>
      <c r="X53" s="42">
        <v>1</v>
      </c>
      <c r="Y53" s="6">
        <v>0</v>
      </c>
      <c r="Z53" s="6">
        <v>1</v>
      </c>
      <c r="AA53" s="6">
        <v>0</v>
      </c>
      <c r="AB53" s="6">
        <v>0</v>
      </c>
      <c r="AC53" s="6">
        <v>0</v>
      </c>
      <c r="AD53" s="7">
        <v>0</v>
      </c>
      <c r="AE53" s="5">
        <v>0</v>
      </c>
      <c r="AF53" s="6">
        <v>1</v>
      </c>
      <c r="AG53" s="6">
        <v>0</v>
      </c>
      <c r="AH53" s="42">
        <v>1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7">
        <v>0</v>
      </c>
      <c r="AT53" s="5">
        <v>0</v>
      </c>
      <c r="AU53" s="6">
        <v>0</v>
      </c>
      <c r="AV53" s="6">
        <v>1</v>
      </c>
      <c r="AW53" s="6">
        <v>0</v>
      </c>
      <c r="AX53" s="42">
        <v>1</v>
      </c>
      <c r="AY53" s="6">
        <v>1</v>
      </c>
      <c r="AZ53" s="6">
        <v>1</v>
      </c>
      <c r="BA53" s="6">
        <v>1</v>
      </c>
      <c r="BB53" s="6">
        <v>1</v>
      </c>
      <c r="BC53" s="6">
        <v>0</v>
      </c>
      <c r="BD53" s="6">
        <v>1</v>
      </c>
      <c r="BE53" s="6">
        <v>0</v>
      </c>
      <c r="BF53" s="6">
        <v>0</v>
      </c>
      <c r="BG53" s="6">
        <v>1</v>
      </c>
      <c r="BH53" s="7">
        <v>0</v>
      </c>
      <c r="BI53" s="5">
        <v>0</v>
      </c>
      <c r="BJ53" s="6">
        <v>1</v>
      </c>
      <c r="BK53" s="6">
        <v>0</v>
      </c>
      <c r="BL53" s="6">
        <v>1</v>
      </c>
      <c r="BM53" s="6">
        <v>1</v>
      </c>
      <c r="BN53" s="6">
        <v>0</v>
      </c>
      <c r="BO53" s="6">
        <v>1</v>
      </c>
      <c r="BP53" s="6">
        <v>0</v>
      </c>
      <c r="BQ53" s="6">
        <v>1</v>
      </c>
      <c r="BR53" s="6">
        <v>0</v>
      </c>
      <c r="BS53" s="6">
        <v>1</v>
      </c>
      <c r="BT53" s="6">
        <v>0</v>
      </c>
      <c r="BU53" s="6">
        <v>0</v>
      </c>
      <c r="BV53" s="6">
        <v>1</v>
      </c>
      <c r="BW53" s="7">
        <v>0</v>
      </c>
    </row>
    <row r="54" spans="16:90" x14ac:dyDescent="0.3">
      <c r="P54" s="5">
        <v>0</v>
      </c>
      <c r="Q54" s="6">
        <v>1</v>
      </c>
      <c r="R54" s="6">
        <v>0</v>
      </c>
      <c r="S54" s="6">
        <v>0</v>
      </c>
      <c r="T54" s="6">
        <v>1</v>
      </c>
      <c r="U54" s="6">
        <v>0</v>
      </c>
      <c r="V54" s="6">
        <v>0</v>
      </c>
      <c r="W54" s="6">
        <v>0</v>
      </c>
      <c r="X54" s="42">
        <v>1</v>
      </c>
      <c r="Y54" s="6">
        <v>0</v>
      </c>
      <c r="Z54" s="6">
        <v>1</v>
      </c>
      <c r="AA54" s="6">
        <v>0</v>
      </c>
      <c r="AB54" s="6">
        <v>0</v>
      </c>
      <c r="AC54" s="6">
        <v>0</v>
      </c>
      <c r="AD54" s="7">
        <v>0</v>
      </c>
      <c r="AE54" s="5">
        <v>0</v>
      </c>
      <c r="AF54" s="6">
        <v>1</v>
      </c>
      <c r="AG54" s="6">
        <v>0</v>
      </c>
      <c r="AH54" s="42">
        <v>1</v>
      </c>
      <c r="AI54" s="6">
        <v>0</v>
      </c>
      <c r="AJ54" s="6">
        <v>0</v>
      </c>
      <c r="AK54" s="42">
        <v>1</v>
      </c>
      <c r="AL54" s="42">
        <v>1</v>
      </c>
      <c r="AM54" s="42">
        <v>1</v>
      </c>
      <c r="AN54" s="42">
        <v>1</v>
      </c>
      <c r="AO54" s="6">
        <v>0</v>
      </c>
      <c r="AP54" s="6">
        <v>1</v>
      </c>
      <c r="AQ54" s="6">
        <v>1</v>
      </c>
      <c r="AR54" s="6">
        <v>1</v>
      </c>
      <c r="AS54" s="7">
        <v>0</v>
      </c>
      <c r="AT54" s="5">
        <v>0</v>
      </c>
      <c r="AU54" s="6">
        <v>0</v>
      </c>
      <c r="AV54" s="6">
        <v>1</v>
      </c>
      <c r="AW54" s="6">
        <v>0</v>
      </c>
      <c r="AX54" s="42">
        <v>1</v>
      </c>
      <c r="AY54" s="6">
        <v>0</v>
      </c>
      <c r="AZ54" s="6">
        <v>0</v>
      </c>
      <c r="BA54" s="6">
        <v>0</v>
      </c>
      <c r="BB54" s="6">
        <v>0</v>
      </c>
      <c r="BC54" s="6">
        <v>0</v>
      </c>
      <c r="BD54" s="6">
        <v>1</v>
      </c>
      <c r="BE54" s="6">
        <v>0</v>
      </c>
      <c r="BF54" s="6">
        <v>1</v>
      </c>
      <c r="BG54" s="6">
        <v>1</v>
      </c>
      <c r="BH54" s="7">
        <v>1</v>
      </c>
      <c r="BI54" s="5">
        <v>1</v>
      </c>
      <c r="BJ54" s="6">
        <v>1</v>
      </c>
      <c r="BK54" s="6">
        <v>0</v>
      </c>
      <c r="BL54" s="6">
        <v>0</v>
      </c>
      <c r="BM54" s="6">
        <v>1</v>
      </c>
      <c r="BN54" s="6">
        <v>0</v>
      </c>
      <c r="BO54" s="6">
        <v>1</v>
      </c>
      <c r="BP54" s="6">
        <v>0</v>
      </c>
      <c r="BQ54" s="6">
        <v>1</v>
      </c>
      <c r="BR54" s="6">
        <v>0</v>
      </c>
      <c r="BS54" s="6">
        <v>1</v>
      </c>
      <c r="BT54" s="6">
        <v>0</v>
      </c>
      <c r="BU54" s="6">
        <v>0</v>
      </c>
      <c r="BV54" s="6">
        <v>1</v>
      </c>
      <c r="BW54" s="7">
        <v>0</v>
      </c>
    </row>
    <row r="55" spans="16:90" x14ac:dyDescent="0.3">
      <c r="P55" s="5">
        <v>0</v>
      </c>
      <c r="Q55" s="6">
        <v>1</v>
      </c>
      <c r="R55" s="6">
        <v>0</v>
      </c>
      <c r="S55" s="6">
        <v>0</v>
      </c>
      <c r="T55" s="6">
        <v>1</v>
      </c>
      <c r="U55" s="6">
        <v>0</v>
      </c>
      <c r="V55" s="6">
        <v>1</v>
      </c>
      <c r="W55" s="6">
        <v>0</v>
      </c>
      <c r="X55" s="42">
        <v>1</v>
      </c>
      <c r="Y55" s="6">
        <v>0</v>
      </c>
      <c r="Z55" s="6">
        <v>1</v>
      </c>
      <c r="AA55" s="6">
        <v>1</v>
      </c>
      <c r="AB55" s="6">
        <v>1</v>
      </c>
      <c r="AC55" s="6">
        <v>1</v>
      </c>
      <c r="AD55" s="7">
        <v>1</v>
      </c>
      <c r="AE55" s="5">
        <v>1</v>
      </c>
      <c r="AF55" s="6">
        <v>1</v>
      </c>
      <c r="AG55" s="6">
        <v>0</v>
      </c>
      <c r="AH55" s="42">
        <v>1</v>
      </c>
      <c r="AI55" s="6">
        <v>0</v>
      </c>
      <c r="AJ55" s="6">
        <v>0</v>
      </c>
      <c r="AK55" s="42">
        <v>1</v>
      </c>
      <c r="AL55" s="6">
        <v>0</v>
      </c>
      <c r="AM55" s="6">
        <v>0</v>
      </c>
      <c r="AN55" s="42">
        <v>1</v>
      </c>
      <c r="AO55" s="6">
        <v>0</v>
      </c>
      <c r="AP55" s="6">
        <v>0</v>
      </c>
      <c r="AQ55" s="6">
        <v>0</v>
      </c>
      <c r="AR55" s="6">
        <v>1</v>
      </c>
      <c r="AS55" s="7">
        <v>0</v>
      </c>
      <c r="AT55" s="5">
        <v>0</v>
      </c>
      <c r="AU55" s="6">
        <v>0</v>
      </c>
      <c r="AV55" s="6">
        <v>0</v>
      </c>
      <c r="AW55" s="6">
        <v>0</v>
      </c>
      <c r="AX55" s="42">
        <v>1</v>
      </c>
      <c r="AY55" s="6">
        <v>0</v>
      </c>
      <c r="AZ55" s="6">
        <v>0</v>
      </c>
      <c r="BA55" s="6">
        <v>1</v>
      </c>
      <c r="BB55" s="6">
        <v>1</v>
      </c>
      <c r="BC55" s="6">
        <v>1</v>
      </c>
      <c r="BD55" s="6">
        <v>1</v>
      </c>
      <c r="BE55" s="6">
        <v>0</v>
      </c>
      <c r="BF55" s="6">
        <v>0</v>
      </c>
      <c r="BG55" s="6">
        <v>0</v>
      </c>
      <c r="BH55" s="7">
        <v>0</v>
      </c>
      <c r="BI55" s="5">
        <v>0</v>
      </c>
      <c r="BJ55" s="6">
        <v>0</v>
      </c>
      <c r="BK55" s="6">
        <v>0</v>
      </c>
      <c r="BL55" s="6">
        <v>0</v>
      </c>
      <c r="BM55" s="6">
        <v>1</v>
      </c>
      <c r="BN55" s="6">
        <v>1</v>
      </c>
      <c r="BO55" s="6">
        <v>1</v>
      </c>
      <c r="BP55" s="6">
        <v>0</v>
      </c>
      <c r="BQ55" s="6">
        <v>1</v>
      </c>
      <c r="BR55" s="6">
        <v>0</v>
      </c>
      <c r="BS55" s="6">
        <v>1</v>
      </c>
      <c r="BT55" s="6">
        <v>0</v>
      </c>
      <c r="BU55" s="6">
        <v>1</v>
      </c>
      <c r="BV55" s="6">
        <v>1</v>
      </c>
      <c r="BW55" s="7">
        <v>0</v>
      </c>
    </row>
    <row r="56" spans="16:90" x14ac:dyDescent="0.3">
      <c r="P56" s="5">
        <v>0</v>
      </c>
      <c r="Q56" s="6">
        <v>1</v>
      </c>
      <c r="R56" s="6">
        <v>0</v>
      </c>
      <c r="S56" s="6">
        <v>1</v>
      </c>
      <c r="T56" s="6">
        <v>1</v>
      </c>
      <c r="U56" s="6">
        <v>0</v>
      </c>
      <c r="V56" s="6">
        <v>1</v>
      </c>
      <c r="W56" s="6">
        <v>0</v>
      </c>
      <c r="X56" s="42">
        <v>1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7">
        <v>0</v>
      </c>
      <c r="AE56" s="5">
        <v>0</v>
      </c>
      <c r="AF56" s="6">
        <v>0</v>
      </c>
      <c r="AG56" s="6">
        <v>0</v>
      </c>
      <c r="AH56" s="42">
        <v>1</v>
      </c>
      <c r="AI56" s="6">
        <v>0</v>
      </c>
      <c r="AJ56" s="6">
        <v>0</v>
      </c>
      <c r="AK56" s="42">
        <v>1</v>
      </c>
      <c r="AL56" s="6">
        <v>0</v>
      </c>
      <c r="AM56" s="6">
        <v>0</v>
      </c>
      <c r="AN56" s="42">
        <v>1</v>
      </c>
      <c r="AO56" s="42">
        <v>1</v>
      </c>
      <c r="AP56" s="42">
        <v>1</v>
      </c>
      <c r="AQ56" s="42">
        <v>1</v>
      </c>
      <c r="AR56" s="42">
        <v>1</v>
      </c>
      <c r="AS56" s="45">
        <v>1</v>
      </c>
      <c r="AT56" s="46">
        <v>1</v>
      </c>
      <c r="AU56" s="42">
        <v>1</v>
      </c>
      <c r="AV56" s="42">
        <v>1</v>
      </c>
      <c r="AW56" s="42">
        <v>1</v>
      </c>
      <c r="AX56" s="42">
        <v>1</v>
      </c>
      <c r="AY56" s="6">
        <v>1</v>
      </c>
      <c r="AZ56" s="6">
        <v>0</v>
      </c>
      <c r="BA56" s="6">
        <v>0</v>
      </c>
      <c r="BB56" s="6">
        <v>0</v>
      </c>
      <c r="BC56" s="6">
        <v>0</v>
      </c>
      <c r="BD56" s="6">
        <v>1</v>
      </c>
      <c r="BE56" s="6">
        <v>0</v>
      </c>
      <c r="BF56" s="6">
        <v>0</v>
      </c>
      <c r="BG56" s="6">
        <v>0</v>
      </c>
      <c r="BH56" s="7">
        <v>0</v>
      </c>
      <c r="BI56" s="5">
        <v>0</v>
      </c>
      <c r="BJ56" s="6">
        <v>0</v>
      </c>
      <c r="BK56" s="6">
        <v>1</v>
      </c>
      <c r="BL56" s="6">
        <v>0</v>
      </c>
      <c r="BM56" s="6">
        <v>0</v>
      </c>
      <c r="BN56" s="6">
        <v>0</v>
      </c>
      <c r="BO56" s="6">
        <v>0</v>
      </c>
      <c r="BP56" s="6">
        <v>0</v>
      </c>
      <c r="BQ56" s="6">
        <v>1</v>
      </c>
      <c r="BR56" s="6">
        <v>0</v>
      </c>
      <c r="BS56" s="6">
        <v>1</v>
      </c>
      <c r="BT56" s="6">
        <v>0</v>
      </c>
      <c r="BU56" s="6">
        <v>0</v>
      </c>
      <c r="BV56" s="6">
        <v>1</v>
      </c>
      <c r="BW56" s="7">
        <v>0</v>
      </c>
    </row>
    <row r="57" spans="16:90" x14ac:dyDescent="0.3">
      <c r="P57" s="5">
        <v>0</v>
      </c>
      <c r="Q57" s="6">
        <v>1</v>
      </c>
      <c r="R57" s="6">
        <v>0</v>
      </c>
      <c r="S57" s="6">
        <v>1</v>
      </c>
      <c r="T57" s="6">
        <v>0</v>
      </c>
      <c r="U57" s="6">
        <v>0</v>
      </c>
      <c r="V57" s="6">
        <v>1</v>
      </c>
      <c r="W57" s="6">
        <v>0</v>
      </c>
      <c r="X57" s="42">
        <v>1</v>
      </c>
      <c r="Y57" s="42">
        <v>1</v>
      </c>
      <c r="Z57" s="42">
        <v>1</v>
      </c>
      <c r="AA57" s="42">
        <v>1</v>
      </c>
      <c r="AB57" s="42">
        <v>1</v>
      </c>
      <c r="AC57" s="42">
        <v>1</v>
      </c>
      <c r="AD57" s="45">
        <v>1</v>
      </c>
      <c r="AE57" s="46">
        <v>1</v>
      </c>
      <c r="AF57" s="42">
        <v>1</v>
      </c>
      <c r="AG57" s="42">
        <v>1</v>
      </c>
      <c r="AH57" s="42">
        <v>1</v>
      </c>
      <c r="AI57" s="6">
        <v>0</v>
      </c>
      <c r="AJ57" s="6">
        <v>0</v>
      </c>
      <c r="AK57" s="42">
        <v>1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7">
        <v>0</v>
      </c>
      <c r="AT57" s="5">
        <v>0</v>
      </c>
      <c r="AU57" s="6">
        <v>0</v>
      </c>
      <c r="AV57" s="6">
        <v>0</v>
      </c>
      <c r="AW57" s="6">
        <v>0</v>
      </c>
      <c r="AX57" s="6">
        <v>0</v>
      </c>
      <c r="AY57" s="6">
        <v>1</v>
      </c>
      <c r="AZ57" s="6">
        <v>1</v>
      </c>
      <c r="BA57" s="6">
        <v>0</v>
      </c>
      <c r="BB57" s="6">
        <v>0</v>
      </c>
      <c r="BC57" s="6">
        <v>0</v>
      </c>
      <c r="BD57" s="6">
        <v>1</v>
      </c>
      <c r="BE57" s="6">
        <v>0</v>
      </c>
      <c r="BF57" s="6">
        <v>1</v>
      </c>
      <c r="BG57" s="6">
        <v>1</v>
      </c>
      <c r="BH57" s="7">
        <v>1</v>
      </c>
      <c r="BI57" s="5">
        <v>1</v>
      </c>
      <c r="BJ57" s="6">
        <v>1</v>
      </c>
      <c r="BK57" s="6">
        <v>1</v>
      </c>
      <c r="BL57" s="6">
        <v>1</v>
      </c>
      <c r="BM57" s="6">
        <v>1</v>
      </c>
      <c r="BN57" s="6">
        <v>1</v>
      </c>
      <c r="BO57" s="6">
        <v>0</v>
      </c>
      <c r="BP57" s="6">
        <v>1</v>
      </c>
      <c r="BQ57" s="6">
        <v>1</v>
      </c>
      <c r="BR57" s="6">
        <v>0</v>
      </c>
      <c r="BS57" s="6">
        <v>1</v>
      </c>
      <c r="BT57" s="6">
        <v>0</v>
      </c>
      <c r="BU57" s="6">
        <v>0</v>
      </c>
      <c r="BV57" s="6">
        <v>1</v>
      </c>
      <c r="BW57" s="7">
        <v>0</v>
      </c>
    </row>
    <row r="58" spans="16:90" x14ac:dyDescent="0.3">
      <c r="P58" s="5">
        <v>0</v>
      </c>
      <c r="Q58" s="6">
        <v>1</v>
      </c>
      <c r="R58" s="6">
        <v>0</v>
      </c>
      <c r="S58" s="6">
        <v>1</v>
      </c>
      <c r="T58" s="6">
        <v>0</v>
      </c>
      <c r="U58" s="6">
        <v>0</v>
      </c>
      <c r="V58" s="6">
        <v>1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7">
        <v>0</v>
      </c>
      <c r="AE58" s="5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42">
        <v>1</v>
      </c>
      <c r="AL58" s="42">
        <v>1</v>
      </c>
      <c r="AM58" s="42">
        <v>1</v>
      </c>
      <c r="AN58" s="42">
        <v>1</v>
      </c>
      <c r="AO58" s="42">
        <v>1</v>
      </c>
      <c r="AP58" s="42">
        <v>1</v>
      </c>
      <c r="AQ58" s="42">
        <v>1</v>
      </c>
      <c r="AR58" s="42">
        <v>1</v>
      </c>
      <c r="AS58" s="45">
        <v>1</v>
      </c>
      <c r="AT58" s="46">
        <v>1</v>
      </c>
      <c r="AU58" s="42">
        <v>1</v>
      </c>
      <c r="AV58" s="42">
        <v>1</v>
      </c>
      <c r="AW58" s="42">
        <v>1</v>
      </c>
      <c r="AX58" s="6">
        <v>0</v>
      </c>
      <c r="AY58" s="6">
        <v>0</v>
      </c>
      <c r="AZ58" s="6">
        <v>1</v>
      </c>
      <c r="BA58" s="6">
        <v>0</v>
      </c>
      <c r="BB58" s="6">
        <v>0</v>
      </c>
      <c r="BC58" s="6">
        <v>0</v>
      </c>
      <c r="BD58" s="6">
        <v>1</v>
      </c>
      <c r="BE58" s="6">
        <v>0</v>
      </c>
      <c r="BF58" s="6">
        <v>1</v>
      </c>
      <c r="BG58" s="6">
        <v>0</v>
      </c>
      <c r="BH58" s="7">
        <v>0</v>
      </c>
      <c r="BI58" s="5">
        <v>0</v>
      </c>
      <c r="BJ58" s="6">
        <v>0</v>
      </c>
      <c r="BK58" s="6">
        <v>0</v>
      </c>
      <c r="BL58" s="6">
        <v>0</v>
      </c>
      <c r="BM58" s="6">
        <v>0</v>
      </c>
      <c r="BN58" s="6">
        <v>0</v>
      </c>
      <c r="BO58" s="6">
        <v>0</v>
      </c>
      <c r="BP58" s="6">
        <v>1</v>
      </c>
      <c r="BQ58" s="6">
        <v>0</v>
      </c>
      <c r="BR58" s="6">
        <v>0</v>
      </c>
      <c r="BS58" s="6">
        <v>1</v>
      </c>
      <c r="BT58" s="6">
        <v>0</v>
      </c>
      <c r="BU58" s="6">
        <v>1</v>
      </c>
      <c r="BV58" s="6">
        <v>1</v>
      </c>
      <c r="BW58" s="7">
        <v>0</v>
      </c>
    </row>
    <row r="59" spans="16:90" x14ac:dyDescent="0.3">
      <c r="P59" s="5">
        <v>0</v>
      </c>
      <c r="Q59" s="6">
        <v>1</v>
      </c>
      <c r="R59" s="6">
        <v>0</v>
      </c>
      <c r="S59" s="6">
        <v>1</v>
      </c>
      <c r="T59" s="6">
        <v>1</v>
      </c>
      <c r="U59" s="6">
        <v>1</v>
      </c>
      <c r="V59" s="6">
        <v>1</v>
      </c>
      <c r="W59" s="6">
        <v>0</v>
      </c>
      <c r="X59" s="6">
        <v>1</v>
      </c>
      <c r="Y59" s="6">
        <v>1</v>
      </c>
      <c r="Z59" s="6">
        <v>1</v>
      </c>
      <c r="AA59" s="6">
        <v>1</v>
      </c>
      <c r="AB59" s="6">
        <v>1</v>
      </c>
      <c r="AC59" s="6">
        <v>1</v>
      </c>
      <c r="AD59" s="7">
        <v>1</v>
      </c>
      <c r="AE59" s="5">
        <v>1</v>
      </c>
      <c r="AF59" s="6">
        <v>1</v>
      </c>
      <c r="AG59" s="6">
        <v>1</v>
      </c>
      <c r="AH59" s="6">
        <v>1</v>
      </c>
      <c r="AI59" s="6">
        <v>1</v>
      </c>
      <c r="AJ59" s="6">
        <v>1</v>
      </c>
      <c r="AK59" s="6">
        <v>1</v>
      </c>
      <c r="AL59" s="6">
        <v>0</v>
      </c>
      <c r="AM59" s="6">
        <v>1</v>
      </c>
      <c r="AN59" s="6">
        <v>0</v>
      </c>
      <c r="AO59" s="6">
        <v>0</v>
      </c>
      <c r="AP59" s="6">
        <v>0</v>
      </c>
      <c r="AQ59" s="6">
        <v>0</v>
      </c>
      <c r="AR59" s="6">
        <v>0</v>
      </c>
      <c r="AS59" s="7">
        <v>0</v>
      </c>
      <c r="AT59" s="5">
        <v>0</v>
      </c>
      <c r="AU59" s="6">
        <v>0</v>
      </c>
      <c r="AV59" s="6">
        <v>0</v>
      </c>
      <c r="AW59" s="42">
        <v>1</v>
      </c>
      <c r="AX59" s="6">
        <v>0</v>
      </c>
      <c r="AY59" s="6">
        <v>0</v>
      </c>
      <c r="AZ59" s="6">
        <v>0</v>
      </c>
      <c r="BA59" s="6">
        <v>0</v>
      </c>
      <c r="BB59" s="6">
        <v>0</v>
      </c>
      <c r="BC59" s="6">
        <v>1</v>
      </c>
      <c r="BD59" s="6">
        <v>1</v>
      </c>
      <c r="BE59" s="6">
        <v>1</v>
      </c>
      <c r="BF59" s="6">
        <v>1</v>
      </c>
      <c r="BG59" s="6">
        <v>0</v>
      </c>
      <c r="BH59" s="7">
        <v>0</v>
      </c>
      <c r="BI59" s="5">
        <v>0</v>
      </c>
      <c r="BJ59" s="6">
        <v>1</v>
      </c>
      <c r="BK59" s="6">
        <v>1</v>
      </c>
      <c r="BL59" s="6">
        <v>1</v>
      </c>
      <c r="BM59" s="6">
        <v>1</v>
      </c>
      <c r="BN59" s="6">
        <v>1</v>
      </c>
      <c r="BO59" s="6">
        <v>0</v>
      </c>
      <c r="BP59" s="6">
        <v>1</v>
      </c>
      <c r="BQ59" s="6">
        <v>1</v>
      </c>
      <c r="BR59" s="6">
        <v>1</v>
      </c>
      <c r="BS59" s="6">
        <v>1</v>
      </c>
      <c r="BT59" s="6">
        <v>0</v>
      </c>
      <c r="BU59" s="6">
        <v>0</v>
      </c>
      <c r="BV59" s="6">
        <v>0</v>
      </c>
      <c r="BW59" s="7">
        <v>0</v>
      </c>
    </row>
    <row r="60" spans="16:90" ht="15" thickBot="1" x14ac:dyDescent="0.35">
      <c r="P60" s="8">
        <v>0</v>
      </c>
      <c r="Q60" s="9">
        <v>1</v>
      </c>
      <c r="R60" s="9">
        <v>0</v>
      </c>
      <c r="S60" s="9">
        <v>0</v>
      </c>
      <c r="T60" s="9">
        <v>0</v>
      </c>
      <c r="U60" s="9">
        <v>0</v>
      </c>
      <c r="V60" s="9">
        <v>1</v>
      </c>
      <c r="W60" s="9">
        <v>0</v>
      </c>
      <c r="X60" s="9">
        <v>0</v>
      </c>
      <c r="Y60" s="9">
        <v>0</v>
      </c>
      <c r="Z60" s="9">
        <v>0</v>
      </c>
      <c r="AA60" s="9">
        <v>1</v>
      </c>
      <c r="AB60" s="9">
        <v>0</v>
      </c>
      <c r="AC60" s="9">
        <v>0</v>
      </c>
      <c r="AD60" s="10">
        <v>0</v>
      </c>
      <c r="AE60" s="8">
        <v>0</v>
      </c>
      <c r="AF60" s="9">
        <v>0</v>
      </c>
      <c r="AG60" s="9">
        <v>0</v>
      </c>
      <c r="AH60" s="9">
        <v>0</v>
      </c>
      <c r="AI60" s="9">
        <v>1</v>
      </c>
      <c r="AJ60" s="9">
        <v>0</v>
      </c>
      <c r="AK60" s="9">
        <v>0</v>
      </c>
      <c r="AL60" s="9">
        <v>0</v>
      </c>
      <c r="AM60" s="9">
        <v>1</v>
      </c>
      <c r="AN60" s="9">
        <v>0</v>
      </c>
      <c r="AO60" s="9">
        <v>0</v>
      </c>
      <c r="AP60" s="9">
        <v>1</v>
      </c>
      <c r="AQ60" s="9">
        <v>0</v>
      </c>
      <c r="AR60" s="9">
        <v>1</v>
      </c>
      <c r="AS60" s="10">
        <v>0</v>
      </c>
      <c r="AT60" s="8">
        <v>0</v>
      </c>
      <c r="AU60" s="9">
        <v>0</v>
      </c>
      <c r="AV60" s="9">
        <v>0</v>
      </c>
      <c r="AW60" s="43">
        <v>1</v>
      </c>
      <c r="AX60" s="9">
        <v>0</v>
      </c>
      <c r="AY60" s="9">
        <v>0</v>
      </c>
      <c r="AZ60" s="9">
        <v>1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10">
        <v>0</v>
      </c>
      <c r="BI60" s="8">
        <v>0</v>
      </c>
      <c r="BJ60" s="9">
        <v>0</v>
      </c>
      <c r="BK60" s="9">
        <v>0</v>
      </c>
      <c r="BL60" s="9">
        <v>0</v>
      </c>
      <c r="BM60" s="9">
        <v>0</v>
      </c>
      <c r="BN60" s="9">
        <v>1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1</v>
      </c>
      <c r="BV60" s="9">
        <v>0</v>
      </c>
      <c r="BW60" s="10">
        <v>0</v>
      </c>
    </row>
    <row r="61" spans="16:90" x14ac:dyDescent="0.3">
      <c r="P61" s="6">
        <v>0</v>
      </c>
      <c r="Q61" s="6">
        <v>1</v>
      </c>
      <c r="R61" s="6">
        <v>0</v>
      </c>
      <c r="S61" s="6">
        <v>0</v>
      </c>
      <c r="T61" s="6">
        <v>0</v>
      </c>
      <c r="U61" s="6">
        <v>0</v>
      </c>
      <c r="V61" s="6">
        <v>1</v>
      </c>
      <c r="W61" s="6">
        <v>0</v>
      </c>
      <c r="X61" s="6">
        <v>0</v>
      </c>
      <c r="Y61" s="6">
        <v>0</v>
      </c>
      <c r="Z61" s="6">
        <v>0</v>
      </c>
      <c r="AA61" s="6">
        <v>1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1</v>
      </c>
      <c r="AJ61" s="6">
        <v>0</v>
      </c>
      <c r="AK61" s="6">
        <v>0</v>
      </c>
      <c r="AL61" s="6">
        <v>0</v>
      </c>
      <c r="AM61" s="6">
        <v>1</v>
      </c>
      <c r="AN61" s="6">
        <v>0</v>
      </c>
      <c r="AO61" s="6">
        <v>0</v>
      </c>
      <c r="AP61" s="6">
        <v>1</v>
      </c>
      <c r="AQ61" s="6">
        <v>0</v>
      </c>
      <c r="AR61" s="6">
        <v>1</v>
      </c>
      <c r="AS61" s="6">
        <v>0</v>
      </c>
      <c r="AT61" s="2">
        <v>0</v>
      </c>
      <c r="AU61" s="3">
        <v>0</v>
      </c>
      <c r="AV61" s="3">
        <v>0</v>
      </c>
      <c r="AW61" s="44">
        <v>1</v>
      </c>
      <c r="AX61" s="3">
        <v>0</v>
      </c>
      <c r="AY61" s="3">
        <v>0</v>
      </c>
      <c r="AZ61" s="3">
        <v>1</v>
      </c>
      <c r="BA61" s="3">
        <v>0</v>
      </c>
      <c r="BB61" s="3">
        <v>0</v>
      </c>
      <c r="BC61" s="3">
        <v>0</v>
      </c>
      <c r="BD61" s="3">
        <v>0</v>
      </c>
      <c r="BE61" s="3">
        <v>0</v>
      </c>
      <c r="BF61" s="3">
        <v>0</v>
      </c>
      <c r="BG61" s="3">
        <v>0</v>
      </c>
      <c r="BH61" s="4">
        <v>0</v>
      </c>
      <c r="BI61" s="2">
        <v>0</v>
      </c>
      <c r="BJ61" s="3">
        <v>0</v>
      </c>
      <c r="BK61" s="3">
        <v>0</v>
      </c>
      <c r="BL61" s="3">
        <v>0</v>
      </c>
      <c r="BM61" s="3">
        <v>0</v>
      </c>
      <c r="BN61" s="3">
        <v>1</v>
      </c>
      <c r="BO61" s="3">
        <v>0</v>
      </c>
      <c r="BP61" s="3">
        <v>0</v>
      </c>
      <c r="BQ61" s="3">
        <v>0</v>
      </c>
      <c r="BR61" s="3">
        <v>0</v>
      </c>
      <c r="BS61" s="3">
        <v>0</v>
      </c>
      <c r="BT61" s="3">
        <v>0</v>
      </c>
      <c r="BU61" s="3">
        <v>1</v>
      </c>
      <c r="BV61" s="3">
        <v>0</v>
      </c>
      <c r="BW61" s="3">
        <v>0</v>
      </c>
      <c r="BX61" s="2">
        <v>0</v>
      </c>
      <c r="BY61" s="3">
        <v>0</v>
      </c>
      <c r="BZ61" s="3">
        <v>0</v>
      </c>
      <c r="CA61" s="3">
        <v>0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4">
        <v>0</v>
      </c>
    </row>
    <row r="62" spans="16:90" x14ac:dyDescent="0.3">
      <c r="P62" s="6">
        <v>0</v>
      </c>
      <c r="Q62" s="6">
        <v>1</v>
      </c>
      <c r="R62" s="6">
        <v>0</v>
      </c>
      <c r="S62" s="6">
        <v>1</v>
      </c>
      <c r="T62" s="6">
        <v>1</v>
      </c>
      <c r="U62" s="6">
        <v>1</v>
      </c>
      <c r="V62" s="6">
        <v>1</v>
      </c>
      <c r="W62" s="6">
        <v>0</v>
      </c>
      <c r="X62" s="6">
        <v>0</v>
      </c>
      <c r="Y62" s="6">
        <v>1</v>
      </c>
      <c r="Z62" s="6">
        <v>0</v>
      </c>
      <c r="AA62" s="6">
        <v>1</v>
      </c>
      <c r="AB62" s="6">
        <v>0</v>
      </c>
      <c r="AC62" s="6">
        <v>1</v>
      </c>
      <c r="AD62" s="6">
        <v>1</v>
      </c>
      <c r="AE62" s="6">
        <v>1</v>
      </c>
      <c r="AF62" s="6">
        <v>1</v>
      </c>
      <c r="AG62" s="6">
        <v>1</v>
      </c>
      <c r="AH62" s="6">
        <v>0</v>
      </c>
      <c r="AI62" s="6">
        <v>1</v>
      </c>
      <c r="AJ62" s="6">
        <v>0</v>
      </c>
      <c r="AK62" s="6">
        <v>0</v>
      </c>
      <c r="AL62" s="6">
        <v>0</v>
      </c>
      <c r="AM62" s="6">
        <v>1</v>
      </c>
      <c r="AN62" s="6">
        <v>0</v>
      </c>
      <c r="AO62" s="6">
        <v>0</v>
      </c>
      <c r="AP62" s="6">
        <v>1</v>
      </c>
      <c r="AQ62" s="6">
        <v>0</v>
      </c>
      <c r="AR62" s="6">
        <v>1</v>
      </c>
      <c r="AS62" s="6">
        <v>0</v>
      </c>
      <c r="AT62" s="5">
        <v>0</v>
      </c>
      <c r="AU62" s="6">
        <v>1</v>
      </c>
      <c r="AV62" s="6">
        <v>1</v>
      </c>
      <c r="AW62" s="6">
        <v>1</v>
      </c>
      <c r="AX62" s="6">
        <v>1</v>
      </c>
      <c r="AY62" s="6">
        <v>1</v>
      </c>
      <c r="AZ62" s="6">
        <v>1</v>
      </c>
      <c r="BA62" s="6">
        <v>1</v>
      </c>
      <c r="BB62" s="6">
        <v>1</v>
      </c>
      <c r="BC62" s="6">
        <v>1</v>
      </c>
      <c r="BD62" s="6">
        <v>1</v>
      </c>
      <c r="BE62" s="6">
        <v>1</v>
      </c>
      <c r="BF62" s="6">
        <v>1</v>
      </c>
      <c r="BG62" s="6">
        <v>1</v>
      </c>
      <c r="BH62" s="7">
        <v>1</v>
      </c>
      <c r="BI62" s="5">
        <v>1</v>
      </c>
      <c r="BJ62" s="6">
        <v>1</v>
      </c>
      <c r="BK62" s="6">
        <v>1</v>
      </c>
      <c r="BL62" s="6">
        <v>1</v>
      </c>
      <c r="BM62" s="6">
        <v>1</v>
      </c>
      <c r="BN62" s="6">
        <v>1</v>
      </c>
      <c r="BO62" s="6">
        <v>1</v>
      </c>
      <c r="BP62" s="6">
        <v>1</v>
      </c>
      <c r="BQ62" s="6">
        <v>1</v>
      </c>
      <c r="BR62" s="6">
        <v>1</v>
      </c>
      <c r="BS62" s="6">
        <v>1</v>
      </c>
      <c r="BT62" s="6">
        <v>1</v>
      </c>
      <c r="BU62" s="6">
        <v>1</v>
      </c>
      <c r="BV62" s="6">
        <v>1</v>
      </c>
      <c r="BW62" s="6">
        <v>1</v>
      </c>
      <c r="BX62" s="5">
        <v>1</v>
      </c>
      <c r="BY62" s="6">
        <v>0</v>
      </c>
      <c r="BZ62" s="6">
        <v>0</v>
      </c>
      <c r="CA62" s="6">
        <v>0</v>
      </c>
      <c r="CB62" s="6">
        <v>0</v>
      </c>
      <c r="CC62" s="6">
        <v>0</v>
      </c>
      <c r="CD62" s="6">
        <v>0</v>
      </c>
      <c r="CE62" s="6">
        <v>0</v>
      </c>
      <c r="CF62" s="6">
        <v>0</v>
      </c>
      <c r="CG62" s="6">
        <v>0</v>
      </c>
      <c r="CH62" s="6">
        <v>0</v>
      </c>
      <c r="CI62" s="6">
        <v>0</v>
      </c>
      <c r="CJ62" s="6">
        <v>0</v>
      </c>
      <c r="CK62" s="6">
        <v>0</v>
      </c>
      <c r="CL62" s="7">
        <v>0</v>
      </c>
    </row>
    <row r="63" spans="16:90" x14ac:dyDescent="0.3">
      <c r="P63" s="6">
        <v>0</v>
      </c>
      <c r="Q63" s="6">
        <v>1</v>
      </c>
      <c r="R63" s="6">
        <v>0</v>
      </c>
      <c r="S63" s="6">
        <v>1</v>
      </c>
      <c r="T63" s="6">
        <v>0</v>
      </c>
      <c r="U63" s="6">
        <v>0</v>
      </c>
      <c r="V63" s="6">
        <v>1</v>
      </c>
      <c r="W63" s="6">
        <v>0</v>
      </c>
      <c r="X63" s="6">
        <v>0</v>
      </c>
      <c r="Y63" s="6">
        <v>1</v>
      </c>
      <c r="Z63" s="6">
        <v>0</v>
      </c>
      <c r="AA63" s="6">
        <v>1</v>
      </c>
      <c r="AB63" s="6">
        <v>0</v>
      </c>
      <c r="AC63" s="6">
        <v>1</v>
      </c>
      <c r="AD63" s="6">
        <v>0</v>
      </c>
      <c r="AE63" s="6">
        <v>0</v>
      </c>
      <c r="AF63" s="6">
        <v>0</v>
      </c>
      <c r="AG63" s="6">
        <v>1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1</v>
      </c>
      <c r="AN63" s="6">
        <v>0</v>
      </c>
      <c r="AO63" s="6">
        <v>0</v>
      </c>
      <c r="AP63" s="6">
        <v>1</v>
      </c>
      <c r="AQ63" s="6">
        <v>0</v>
      </c>
      <c r="AR63" s="6">
        <v>1</v>
      </c>
      <c r="AS63" s="6">
        <v>0</v>
      </c>
      <c r="AT63" s="5">
        <v>0</v>
      </c>
      <c r="AU63" s="6">
        <v>1</v>
      </c>
      <c r="AV63" s="6">
        <v>1</v>
      </c>
      <c r="AW63" s="6">
        <v>1</v>
      </c>
      <c r="AX63" s="6">
        <v>1</v>
      </c>
      <c r="AY63" s="6">
        <v>1</v>
      </c>
      <c r="AZ63" s="6">
        <v>1</v>
      </c>
      <c r="BA63" s="6">
        <v>1</v>
      </c>
      <c r="BB63" s="6">
        <v>1</v>
      </c>
      <c r="BC63" s="6">
        <v>1</v>
      </c>
      <c r="BD63" s="6">
        <v>1</v>
      </c>
      <c r="BE63" s="6">
        <v>1</v>
      </c>
      <c r="BF63" s="6">
        <v>1</v>
      </c>
      <c r="BG63" s="6">
        <v>1</v>
      </c>
      <c r="BH63" s="7">
        <v>1</v>
      </c>
      <c r="BI63" s="5">
        <v>1</v>
      </c>
      <c r="BJ63" s="6">
        <v>1</v>
      </c>
      <c r="BK63" s="6">
        <v>1</v>
      </c>
      <c r="BL63" s="6">
        <v>1</v>
      </c>
      <c r="BM63" s="6">
        <v>1</v>
      </c>
      <c r="BN63" s="6">
        <v>1</v>
      </c>
      <c r="BO63" s="6">
        <v>1</v>
      </c>
      <c r="BP63" s="6">
        <v>1</v>
      </c>
      <c r="BQ63" s="6">
        <v>1</v>
      </c>
      <c r="BR63" s="6">
        <v>1</v>
      </c>
      <c r="BS63" s="6">
        <v>1</v>
      </c>
      <c r="BT63" s="6">
        <v>1</v>
      </c>
      <c r="BU63" s="6">
        <v>1</v>
      </c>
      <c r="BV63" s="6">
        <v>1</v>
      </c>
      <c r="BW63" s="6">
        <v>1</v>
      </c>
      <c r="BX63" s="5">
        <v>1</v>
      </c>
      <c r="BY63" s="6">
        <v>0</v>
      </c>
      <c r="BZ63" s="6">
        <v>0</v>
      </c>
      <c r="CA63" s="6">
        <v>0</v>
      </c>
      <c r="CB63" s="6">
        <v>0</v>
      </c>
      <c r="CC63" s="6">
        <v>0</v>
      </c>
      <c r="CD63" s="6">
        <v>0</v>
      </c>
      <c r="CE63" s="6">
        <v>0</v>
      </c>
      <c r="CF63" s="6">
        <v>0</v>
      </c>
      <c r="CG63" s="6">
        <v>0</v>
      </c>
      <c r="CH63" s="6">
        <v>0</v>
      </c>
      <c r="CI63" s="6">
        <v>0</v>
      </c>
      <c r="CJ63" s="6">
        <v>0</v>
      </c>
      <c r="CK63" s="6">
        <v>0</v>
      </c>
      <c r="CL63" s="7">
        <v>0</v>
      </c>
    </row>
    <row r="64" spans="16:90" x14ac:dyDescent="0.3">
      <c r="P64" s="6">
        <v>0</v>
      </c>
      <c r="Q64" s="6">
        <v>1</v>
      </c>
      <c r="R64" s="6">
        <v>0</v>
      </c>
      <c r="S64" s="6">
        <v>1</v>
      </c>
      <c r="T64" s="6">
        <v>0</v>
      </c>
      <c r="U64" s="6">
        <v>0</v>
      </c>
      <c r="V64" s="6">
        <v>1</v>
      </c>
      <c r="W64" s="6">
        <v>1</v>
      </c>
      <c r="X64" s="6">
        <v>1</v>
      </c>
      <c r="Y64" s="6">
        <v>1</v>
      </c>
      <c r="Z64" s="6">
        <v>0</v>
      </c>
      <c r="AA64" s="6">
        <v>1</v>
      </c>
      <c r="AB64" s="6">
        <v>0</v>
      </c>
      <c r="AC64" s="6">
        <v>1</v>
      </c>
      <c r="AD64" s="6">
        <v>0</v>
      </c>
      <c r="AE64" s="6">
        <v>0</v>
      </c>
      <c r="AF64" s="6">
        <v>0</v>
      </c>
      <c r="AG64" s="6">
        <v>1</v>
      </c>
      <c r="AH64" s="6">
        <v>1</v>
      </c>
      <c r="AI64" s="6">
        <v>1</v>
      </c>
      <c r="AJ64" s="6">
        <v>1</v>
      </c>
      <c r="AK64" s="6">
        <v>1</v>
      </c>
      <c r="AL64" s="6">
        <v>1</v>
      </c>
      <c r="AM64" s="6">
        <v>1</v>
      </c>
      <c r="AN64" s="6">
        <v>0</v>
      </c>
      <c r="AO64" s="6">
        <v>0</v>
      </c>
      <c r="AP64" s="6">
        <v>1</v>
      </c>
      <c r="AQ64" s="6">
        <v>0</v>
      </c>
      <c r="AR64" s="6">
        <v>1</v>
      </c>
      <c r="AS64" s="6">
        <v>0</v>
      </c>
      <c r="AT64" s="5">
        <v>0</v>
      </c>
      <c r="AU64" s="6">
        <v>1</v>
      </c>
      <c r="AV64" s="6">
        <v>1</v>
      </c>
      <c r="AW64" s="6">
        <v>1</v>
      </c>
      <c r="AX64" s="6">
        <v>1</v>
      </c>
      <c r="AY64" s="6">
        <v>1</v>
      </c>
      <c r="AZ64" s="6">
        <v>1</v>
      </c>
      <c r="BA64" s="6">
        <v>1</v>
      </c>
      <c r="BB64" s="6">
        <v>1</v>
      </c>
      <c r="BC64" s="6">
        <v>1</v>
      </c>
      <c r="BD64" s="6">
        <v>1</v>
      </c>
      <c r="BE64" s="6">
        <v>1</v>
      </c>
      <c r="BF64" s="6">
        <v>1</v>
      </c>
      <c r="BG64" s="6">
        <v>1</v>
      </c>
      <c r="BH64" s="7">
        <v>1</v>
      </c>
      <c r="BI64" s="5">
        <v>1</v>
      </c>
      <c r="BJ64" s="6">
        <v>1</v>
      </c>
      <c r="BK64" s="6">
        <v>1</v>
      </c>
      <c r="BL64" s="6">
        <v>1</v>
      </c>
      <c r="BM64" s="6">
        <v>1</v>
      </c>
      <c r="BN64" s="6">
        <v>1</v>
      </c>
      <c r="BO64" s="6">
        <v>1</v>
      </c>
      <c r="BP64" s="6">
        <v>1</v>
      </c>
      <c r="BQ64" s="6">
        <v>1</v>
      </c>
      <c r="BR64" s="6">
        <v>1</v>
      </c>
      <c r="BS64" s="6">
        <v>1</v>
      </c>
      <c r="BT64" s="6">
        <v>1</v>
      </c>
      <c r="BU64" s="6">
        <v>1</v>
      </c>
      <c r="BV64" s="6">
        <v>1</v>
      </c>
      <c r="BW64" s="6">
        <v>1</v>
      </c>
      <c r="BX64" s="5">
        <v>1</v>
      </c>
      <c r="BY64" s="6">
        <v>0</v>
      </c>
      <c r="BZ64" s="6">
        <v>0</v>
      </c>
      <c r="CA64" s="6">
        <v>0</v>
      </c>
      <c r="CB64" s="6">
        <v>0</v>
      </c>
      <c r="CC64" s="6">
        <v>0</v>
      </c>
      <c r="CD64" s="6">
        <v>0</v>
      </c>
      <c r="CE64" s="6">
        <v>0</v>
      </c>
      <c r="CF64" s="6">
        <v>0</v>
      </c>
      <c r="CG64" s="6">
        <v>0</v>
      </c>
      <c r="CH64" s="6">
        <v>0</v>
      </c>
      <c r="CI64" s="6">
        <v>0</v>
      </c>
      <c r="CJ64" s="6">
        <v>0</v>
      </c>
      <c r="CK64" s="6">
        <v>0</v>
      </c>
      <c r="CL64" s="7">
        <v>0</v>
      </c>
    </row>
    <row r="65" spans="16:90" x14ac:dyDescent="0.3">
      <c r="P65" s="6">
        <v>0</v>
      </c>
      <c r="Q65" s="6">
        <v>1</v>
      </c>
      <c r="R65" s="6">
        <v>0</v>
      </c>
      <c r="S65" s="6">
        <v>1</v>
      </c>
      <c r="T65" s="6">
        <v>0</v>
      </c>
      <c r="U65" s="6">
        <v>0</v>
      </c>
      <c r="V65" s="6">
        <v>0</v>
      </c>
      <c r="W65" s="6">
        <v>0</v>
      </c>
      <c r="X65" s="6">
        <v>1</v>
      </c>
      <c r="Y65" s="6">
        <v>0</v>
      </c>
      <c r="Z65" s="6">
        <v>0</v>
      </c>
      <c r="AA65" s="6">
        <v>1</v>
      </c>
      <c r="AB65" s="6">
        <v>0</v>
      </c>
      <c r="AC65" s="6">
        <v>1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1</v>
      </c>
      <c r="AQ65" s="6">
        <v>0</v>
      </c>
      <c r="AR65" s="6">
        <v>1</v>
      </c>
      <c r="AS65" s="6">
        <v>0</v>
      </c>
      <c r="AT65" s="5">
        <v>0</v>
      </c>
      <c r="AU65" s="6">
        <v>1</v>
      </c>
      <c r="AV65" s="6">
        <v>0</v>
      </c>
      <c r="AW65" s="6">
        <v>1</v>
      </c>
      <c r="AX65" s="6">
        <v>0</v>
      </c>
      <c r="AY65" s="6">
        <v>1</v>
      </c>
      <c r="AZ65" s="6">
        <v>0</v>
      </c>
      <c r="BA65" s="6">
        <v>0</v>
      </c>
      <c r="BB65" s="6">
        <v>0</v>
      </c>
      <c r="BC65" s="6">
        <v>0</v>
      </c>
      <c r="BD65" s="6">
        <v>1</v>
      </c>
      <c r="BE65" s="6">
        <v>0</v>
      </c>
      <c r="BF65" s="6">
        <v>1</v>
      </c>
      <c r="BG65" s="6">
        <v>0</v>
      </c>
      <c r="BH65" s="7">
        <v>1</v>
      </c>
      <c r="BI65" s="5">
        <v>1</v>
      </c>
      <c r="BJ65" s="6">
        <v>0</v>
      </c>
      <c r="BK65" s="6">
        <v>1</v>
      </c>
      <c r="BL65" s="6">
        <v>1</v>
      </c>
      <c r="BM65" s="6">
        <v>1</v>
      </c>
      <c r="BN65" s="6">
        <v>1</v>
      </c>
      <c r="BO65" s="6">
        <v>1</v>
      </c>
      <c r="BP65" s="6">
        <v>0</v>
      </c>
      <c r="BQ65" s="6">
        <v>1</v>
      </c>
      <c r="BR65" s="6">
        <v>0</v>
      </c>
      <c r="BS65" s="6">
        <v>1</v>
      </c>
      <c r="BT65" s="6">
        <v>1</v>
      </c>
      <c r="BU65" s="6">
        <v>1</v>
      </c>
      <c r="BV65" s="6">
        <v>1</v>
      </c>
      <c r="BW65" s="6">
        <v>1</v>
      </c>
      <c r="BX65" s="5">
        <v>1</v>
      </c>
      <c r="BY65" s="6">
        <v>0</v>
      </c>
      <c r="BZ65" s="6">
        <v>0</v>
      </c>
      <c r="CA65" s="6">
        <v>0</v>
      </c>
      <c r="CB65" s="6">
        <v>0</v>
      </c>
      <c r="CC65" s="6">
        <v>0</v>
      </c>
      <c r="CD65" s="6">
        <v>0</v>
      </c>
      <c r="CE65" s="6">
        <v>0</v>
      </c>
      <c r="CF65" s="6">
        <v>0</v>
      </c>
      <c r="CG65" s="6">
        <v>0</v>
      </c>
      <c r="CH65" s="6">
        <v>0</v>
      </c>
      <c r="CI65" s="6">
        <v>0</v>
      </c>
      <c r="CJ65" s="6">
        <v>0</v>
      </c>
      <c r="CK65" s="6">
        <v>0</v>
      </c>
      <c r="CL65" s="7">
        <v>0</v>
      </c>
    </row>
    <row r="66" spans="16:90" x14ac:dyDescent="0.3">
      <c r="P66" s="6">
        <v>0</v>
      </c>
      <c r="Q66" s="6">
        <v>1</v>
      </c>
      <c r="R66" s="6">
        <v>0</v>
      </c>
      <c r="S66" s="6">
        <v>1</v>
      </c>
      <c r="T66" s="6">
        <v>0</v>
      </c>
      <c r="U66" s="6">
        <v>0</v>
      </c>
      <c r="V66" s="6">
        <v>0</v>
      </c>
      <c r="W66" s="6">
        <v>0</v>
      </c>
      <c r="X66" s="6">
        <v>1</v>
      </c>
      <c r="Y66" s="6">
        <v>0</v>
      </c>
      <c r="Z66" s="6">
        <v>0</v>
      </c>
      <c r="AA66" s="6">
        <v>1</v>
      </c>
      <c r="AB66" s="6">
        <v>0</v>
      </c>
      <c r="AC66" s="6">
        <v>1</v>
      </c>
      <c r="AD66" s="6">
        <v>1</v>
      </c>
      <c r="AE66" s="6">
        <v>1</v>
      </c>
      <c r="AF66" s="6">
        <v>1</v>
      </c>
      <c r="AG66" s="6">
        <v>1</v>
      </c>
      <c r="AH66" s="6">
        <v>1</v>
      </c>
      <c r="AI66" s="6">
        <v>1</v>
      </c>
      <c r="AJ66" s="6">
        <v>1</v>
      </c>
      <c r="AK66" s="6">
        <v>1</v>
      </c>
      <c r="AL66" s="6">
        <v>1</v>
      </c>
      <c r="AM66" s="6">
        <v>1</v>
      </c>
      <c r="AN66" s="6">
        <v>1</v>
      </c>
      <c r="AO66" s="6">
        <v>1</v>
      </c>
      <c r="AP66" s="6">
        <v>1</v>
      </c>
      <c r="AQ66" s="6">
        <v>0</v>
      </c>
      <c r="AR66" s="6">
        <v>1</v>
      </c>
      <c r="AS66" s="6">
        <v>0</v>
      </c>
      <c r="AT66" s="5">
        <v>0</v>
      </c>
      <c r="AU66" s="6">
        <v>1</v>
      </c>
      <c r="AV66" s="6">
        <v>0</v>
      </c>
      <c r="AW66" s="6">
        <v>1</v>
      </c>
      <c r="AX66" s="6">
        <v>0</v>
      </c>
      <c r="AY66" s="6">
        <v>1</v>
      </c>
      <c r="AZ66" s="6">
        <v>0</v>
      </c>
      <c r="BA66" s="6">
        <v>1</v>
      </c>
      <c r="BB66" s="6">
        <v>1</v>
      </c>
      <c r="BC66" s="6">
        <v>0</v>
      </c>
      <c r="BD66" s="6">
        <v>1</v>
      </c>
      <c r="BE66" s="6">
        <v>0</v>
      </c>
      <c r="BF66" s="6">
        <v>1</v>
      </c>
      <c r="BG66" s="6">
        <v>0</v>
      </c>
      <c r="BH66" s="7">
        <v>1</v>
      </c>
      <c r="BI66" s="5">
        <v>1</v>
      </c>
      <c r="BJ66" s="6">
        <v>0</v>
      </c>
      <c r="BK66" s="6">
        <v>1</v>
      </c>
      <c r="BL66" s="6">
        <v>1</v>
      </c>
      <c r="BM66" s="6">
        <v>1</v>
      </c>
      <c r="BN66" s="6">
        <v>1</v>
      </c>
      <c r="BO66" s="6">
        <v>1</v>
      </c>
      <c r="BP66" s="6">
        <v>0</v>
      </c>
      <c r="BQ66" s="6">
        <v>1</v>
      </c>
      <c r="BR66" s="6">
        <v>1</v>
      </c>
      <c r="BS66" s="6">
        <v>1</v>
      </c>
      <c r="BT66" s="6">
        <v>1</v>
      </c>
      <c r="BU66" s="6">
        <v>1</v>
      </c>
      <c r="BV66" s="6">
        <v>1</v>
      </c>
      <c r="BW66" s="6">
        <v>1</v>
      </c>
      <c r="BX66" s="5">
        <v>1</v>
      </c>
      <c r="BY66" s="6">
        <v>0</v>
      </c>
      <c r="BZ66" s="6">
        <v>0</v>
      </c>
      <c r="CA66" s="6">
        <v>0</v>
      </c>
      <c r="CB66" s="6">
        <v>0</v>
      </c>
      <c r="CC66" s="6">
        <v>0</v>
      </c>
      <c r="CD66" s="6">
        <v>0</v>
      </c>
      <c r="CE66" s="6">
        <v>0</v>
      </c>
      <c r="CF66" s="6">
        <v>0</v>
      </c>
      <c r="CG66" s="6">
        <v>0</v>
      </c>
      <c r="CH66" s="6">
        <v>0</v>
      </c>
      <c r="CI66" s="6">
        <v>0</v>
      </c>
      <c r="CJ66" s="6">
        <v>0</v>
      </c>
      <c r="CK66" s="6">
        <v>0</v>
      </c>
      <c r="CL66" s="7">
        <v>0</v>
      </c>
    </row>
    <row r="67" spans="16:90" x14ac:dyDescent="0.3">
      <c r="P67" s="6">
        <v>0</v>
      </c>
      <c r="Q67" s="6">
        <v>1</v>
      </c>
      <c r="R67" s="6">
        <v>0</v>
      </c>
      <c r="S67" s="6">
        <v>1</v>
      </c>
      <c r="T67" s="6">
        <v>0</v>
      </c>
      <c r="U67" s="6">
        <v>0</v>
      </c>
      <c r="V67" s="6">
        <v>0</v>
      </c>
      <c r="W67" s="6">
        <v>0</v>
      </c>
      <c r="X67" s="6">
        <v>1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1</v>
      </c>
      <c r="AS67" s="6">
        <v>0</v>
      </c>
      <c r="AT67" s="5">
        <v>0</v>
      </c>
      <c r="AU67" s="6">
        <v>1</v>
      </c>
      <c r="AV67" s="6">
        <v>1</v>
      </c>
      <c r="AW67" s="6">
        <v>0</v>
      </c>
      <c r="AX67" s="6">
        <v>1</v>
      </c>
      <c r="AY67" s="6">
        <v>1</v>
      </c>
      <c r="AZ67" s="6">
        <v>0</v>
      </c>
      <c r="BA67" s="6">
        <v>1</v>
      </c>
      <c r="BB67" s="6">
        <v>1</v>
      </c>
      <c r="BC67" s="6">
        <v>0</v>
      </c>
      <c r="BD67" s="6">
        <v>1</v>
      </c>
      <c r="BE67" s="6">
        <v>0</v>
      </c>
      <c r="BF67" s="6">
        <v>1</v>
      </c>
      <c r="BG67" s="6">
        <v>0</v>
      </c>
      <c r="BH67" s="7">
        <v>1</v>
      </c>
      <c r="BI67" s="5">
        <v>1</v>
      </c>
      <c r="BJ67" s="6">
        <v>0</v>
      </c>
      <c r="BK67" s="6">
        <v>1</v>
      </c>
      <c r="BL67" s="6">
        <v>1</v>
      </c>
      <c r="BM67" s="6">
        <v>1</v>
      </c>
      <c r="BN67" s="6">
        <v>1</v>
      </c>
      <c r="BO67" s="6">
        <v>1</v>
      </c>
      <c r="BP67" s="6">
        <v>0</v>
      </c>
      <c r="BQ67" s="6">
        <v>1</v>
      </c>
      <c r="BR67" s="6">
        <v>0</v>
      </c>
      <c r="BS67" s="6">
        <v>1</v>
      </c>
      <c r="BT67" s="6">
        <v>0</v>
      </c>
      <c r="BU67" s="6">
        <v>1</v>
      </c>
      <c r="BV67" s="6">
        <v>1</v>
      </c>
      <c r="BW67" s="6">
        <v>1</v>
      </c>
      <c r="BX67" s="5">
        <v>1</v>
      </c>
      <c r="BY67" s="6">
        <v>0</v>
      </c>
      <c r="BZ67" s="6">
        <v>0</v>
      </c>
      <c r="CA67" s="6">
        <v>0</v>
      </c>
      <c r="CB67" s="6">
        <v>0</v>
      </c>
      <c r="CC67" s="6">
        <v>0</v>
      </c>
      <c r="CD67" s="6">
        <v>0</v>
      </c>
      <c r="CE67" s="6">
        <v>0</v>
      </c>
      <c r="CF67" s="6">
        <v>0</v>
      </c>
      <c r="CG67" s="6">
        <v>0</v>
      </c>
      <c r="CH67" s="6">
        <v>0</v>
      </c>
      <c r="CI67" s="6">
        <v>0</v>
      </c>
      <c r="CJ67" s="6">
        <v>0</v>
      </c>
      <c r="CK67" s="6">
        <v>0</v>
      </c>
      <c r="CL67" s="7">
        <v>0</v>
      </c>
    </row>
    <row r="68" spans="16:90" x14ac:dyDescent="0.3">
      <c r="P68" s="6">
        <v>0</v>
      </c>
      <c r="Q68" s="6">
        <v>1</v>
      </c>
      <c r="R68" s="6">
        <v>0</v>
      </c>
      <c r="S68" s="6">
        <v>1</v>
      </c>
      <c r="T68" s="6">
        <v>1</v>
      </c>
      <c r="U68" s="6">
        <v>1</v>
      </c>
      <c r="V68" s="6">
        <v>1</v>
      </c>
      <c r="W68" s="6">
        <v>1</v>
      </c>
      <c r="X68" s="6">
        <v>1</v>
      </c>
      <c r="Y68" s="6">
        <v>0</v>
      </c>
      <c r="Z68" s="6">
        <v>0</v>
      </c>
      <c r="AA68" s="6">
        <v>1</v>
      </c>
      <c r="AB68" s="6">
        <v>0</v>
      </c>
      <c r="AC68" s="6">
        <v>1</v>
      </c>
      <c r="AD68" s="6">
        <v>1</v>
      </c>
      <c r="AE68" s="6">
        <v>1</v>
      </c>
      <c r="AF68" s="6">
        <v>1</v>
      </c>
      <c r="AG68" s="6">
        <v>1</v>
      </c>
      <c r="AH68" s="6">
        <v>1</v>
      </c>
      <c r="AI68" s="6">
        <v>1</v>
      </c>
      <c r="AJ68" s="6">
        <v>1</v>
      </c>
      <c r="AK68" s="6">
        <v>1</v>
      </c>
      <c r="AL68" s="6">
        <v>1</v>
      </c>
      <c r="AM68" s="6">
        <v>1</v>
      </c>
      <c r="AN68" s="6">
        <v>1</v>
      </c>
      <c r="AO68" s="6">
        <v>1</v>
      </c>
      <c r="AP68" s="6">
        <v>1</v>
      </c>
      <c r="AQ68" s="6">
        <v>1</v>
      </c>
      <c r="AR68" s="6">
        <v>1</v>
      </c>
      <c r="AS68" s="6">
        <v>0</v>
      </c>
      <c r="AT68" s="5">
        <v>0</v>
      </c>
      <c r="AU68" s="6">
        <v>1</v>
      </c>
      <c r="AV68" s="6">
        <v>1</v>
      </c>
      <c r="AW68" s="6">
        <v>0</v>
      </c>
      <c r="AX68" s="6">
        <v>1</v>
      </c>
      <c r="AY68" s="6">
        <v>1</v>
      </c>
      <c r="AZ68" s="6">
        <v>0</v>
      </c>
      <c r="BA68" s="6">
        <v>1</v>
      </c>
      <c r="BB68" s="6">
        <v>1</v>
      </c>
      <c r="BC68" s="6">
        <v>0</v>
      </c>
      <c r="BD68" s="6">
        <v>1</v>
      </c>
      <c r="BE68" s="6">
        <v>0</v>
      </c>
      <c r="BF68" s="6">
        <v>1</v>
      </c>
      <c r="BG68" s="6">
        <v>0</v>
      </c>
      <c r="BH68" s="7">
        <v>1</v>
      </c>
      <c r="BI68" s="5">
        <v>1</v>
      </c>
      <c r="BJ68" s="6">
        <v>1</v>
      </c>
      <c r="BK68" s="6">
        <v>0</v>
      </c>
      <c r="BL68" s="6">
        <v>1</v>
      </c>
      <c r="BM68" s="6">
        <v>1</v>
      </c>
      <c r="BN68" s="6">
        <v>1</v>
      </c>
      <c r="BO68" s="6">
        <v>0</v>
      </c>
      <c r="BP68" s="6">
        <v>1</v>
      </c>
      <c r="BQ68" s="6">
        <v>1</v>
      </c>
      <c r="BR68" s="6">
        <v>0</v>
      </c>
      <c r="BS68" s="6">
        <v>1</v>
      </c>
      <c r="BT68" s="6">
        <v>0</v>
      </c>
      <c r="BU68" s="6">
        <v>0</v>
      </c>
      <c r="BV68" s="6">
        <v>0</v>
      </c>
      <c r="BW68" s="6">
        <v>1</v>
      </c>
      <c r="BX68" s="5">
        <v>1</v>
      </c>
      <c r="BY68" s="6">
        <v>0</v>
      </c>
      <c r="BZ68" s="6">
        <v>0</v>
      </c>
      <c r="CA68" s="6">
        <v>0</v>
      </c>
      <c r="CB68" s="6">
        <v>0</v>
      </c>
      <c r="CC68" s="6">
        <v>0</v>
      </c>
      <c r="CD68" s="6">
        <v>0</v>
      </c>
      <c r="CE68" s="6">
        <v>0</v>
      </c>
      <c r="CF68" s="6">
        <v>0</v>
      </c>
      <c r="CG68" s="6">
        <v>0</v>
      </c>
      <c r="CH68" s="6">
        <v>0</v>
      </c>
      <c r="CI68" s="6">
        <v>0</v>
      </c>
      <c r="CJ68" s="6">
        <v>0</v>
      </c>
      <c r="CK68" s="6">
        <v>0</v>
      </c>
      <c r="CL68" s="7">
        <v>0</v>
      </c>
    </row>
    <row r="69" spans="16:90" x14ac:dyDescent="0.3">
      <c r="P69" s="6">
        <v>0</v>
      </c>
      <c r="Q69" s="6">
        <v>1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1</v>
      </c>
      <c r="AA69" s="6">
        <v>1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1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1</v>
      </c>
      <c r="AS69" s="6">
        <v>0</v>
      </c>
      <c r="AT69" s="5">
        <v>0</v>
      </c>
      <c r="AU69" s="6">
        <v>1</v>
      </c>
      <c r="AV69" s="6">
        <v>1</v>
      </c>
      <c r="AW69" s="6">
        <v>0</v>
      </c>
      <c r="AX69" s="6">
        <v>1</v>
      </c>
      <c r="AY69" s="6">
        <v>1</v>
      </c>
      <c r="AZ69" s="6">
        <v>0</v>
      </c>
      <c r="BA69" s="6">
        <v>1</v>
      </c>
      <c r="BB69" s="6">
        <v>1</v>
      </c>
      <c r="BC69" s="6">
        <v>0</v>
      </c>
      <c r="BD69" s="6">
        <v>1</v>
      </c>
      <c r="BE69" s="6">
        <v>0</v>
      </c>
      <c r="BF69" s="6">
        <v>1</v>
      </c>
      <c r="BG69" s="6">
        <v>0</v>
      </c>
      <c r="BH69" s="7">
        <v>1</v>
      </c>
      <c r="BI69" s="5">
        <v>1</v>
      </c>
      <c r="BJ69" s="6">
        <v>1</v>
      </c>
      <c r="BK69" s="6">
        <v>0</v>
      </c>
      <c r="BL69" s="6">
        <v>1</v>
      </c>
      <c r="BM69" s="6">
        <v>0</v>
      </c>
      <c r="BN69" s="6">
        <v>1</v>
      </c>
      <c r="BO69" s="6">
        <v>0</v>
      </c>
      <c r="BP69" s="6">
        <v>1</v>
      </c>
      <c r="BQ69" s="6">
        <v>1</v>
      </c>
      <c r="BR69" s="6">
        <v>0</v>
      </c>
      <c r="BS69" s="6">
        <v>1</v>
      </c>
      <c r="BT69" s="6">
        <v>0</v>
      </c>
      <c r="BU69" s="6">
        <v>1</v>
      </c>
      <c r="BV69" s="6">
        <v>0</v>
      </c>
      <c r="BW69" s="6">
        <v>1</v>
      </c>
      <c r="BX69" s="5">
        <v>1</v>
      </c>
      <c r="BY69" s="6">
        <v>0</v>
      </c>
      <c r="BZ69" s="6">
        <v>0</v>
      </c>
      <c r="CA69" s="6">
        <v>0</v>
      </c>
      <c r="CB69" s="6">
        <v>0</v>
      </c>
      <c r="CC69" s="6">
        <v>0</v>
      </c>
      <c r="CD69" s="6">
        <v>0</v>
      </c>
      <c r="CE69" s="6">
        <v>0</v>
      </c>
      <c r="CF69" s="6">
        <v>0</v>
      </c>
      <c r="CG69" s="6">
        <v>0</v>
      </c>
      <c r="CH69" s="6">
        <v>0</v>
      </c>
      <c r="CI69" s="6">
        <v>0</v>
      </c>
      <c r="CJ69" s="6">
        <v>0</v>
      </c>
      <c r="CK69" s="6">
        <v>0</v>
      </c>
      <c r="CL69" s="7">
        <v>0</v>
      </c>
    </row>
    <row r="70" spans="16:90" x14ac:dyDescent="0.3">
      <c r="P70" s="6">
        <v>0</v>
      </c>
      <c r="Q70" s="6">
        <v>1</v>
      </c>
      <c r="R70" s="6">
        <v>0</v>
      </c>
      <c r="S70" s="6">
        <v>1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1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1</v>
      </c>
      <c r="AS70" s="6">
        <v>0</v>
      </c>
      <c r="AT70" s="5">
        <v>0</v>
      </c>
      <c r="AU70" s="6">
        <v>1</v>
      </c>
      <c r="AV70" s="6">
        <v>1</v>
      </c>
      <c r="AW70" s="6">
        <v>0</v>
      </c>
      <c r="AX70" s="6">
        <v>1</v>
      </c>
      <c r="AY70" s="6">
        <v>1</v>
      </c>
      <c r="AZ70" s="6">
        <v>0</v>
      </c>
      <c r="BA70" s="6">
        <v>0</v>
      </c>
      <c r="BB70" s="6">
        <v>0</v>
      </c>
      <c r="BC70" s="6">
        <v>0</v>
      </c>
      <c r="BD70" s="6">
        <v>1</v>
      </c>
      <c r="BE70" s="6">
        <v>0</v>
      </c>
      <c r="BF70" s="6">
        <v>0</v>
      </c>
      <c r="BG70" s="6">
        <v>0</v>
      </c>
      <c r="BH70" s="7">
        <v>1</v>
      </c>
      <c r="BI70" s="5">
        <v>1</v>
      </c>
      <c r="BJ70" s="6">
        <v>1</v>
      </c>
      <c r="BK70" s="6">
        <v>1</v>
      </c>
      <c r="BL70" s="6">
        <v>0</v>
      </c>
      <c r="BM70" s="6">
        <v>1</v>
      </c>
      <c r="BN70" s="6">
        <v>0</v>
      </c>
      <c r="BO70" s="6">
        <v>1</v>
      </c>
      <c r="BP70" s="6">
        <v>1</v>
      </c>
      <c r="BQ70" s="6">
        <v>1</v>
      </c>
      <c r="BR70" s="6">
        <v>0</v>
      </c>
      <c r="BS70" s="6">
        <v>1</v>
      </c>
      <c r="BT70" s="6">
        <v>0</v>
      </c>
      <c r="BU70" s="6">
        <v>1</v>
      </c>
      <c r="BV70" s="6">
        <v>0</v>
      </c>
      <c r="BW70" s="6">
        <v>1</v>
      </c>
      <c r="BX70" s="5">
        <v>1</v>
      </c>
      <c r="BY70" s="6">
        <v>0</v>
      </c>
      <c r="BZ70" s="6">
        <v>0</v>
      </c>
      <c r="CA70" s="6">
        <v>0</v>
      </c>
      <c r="CB70" s="6">
        <v>0</v>
      </c>
      <c r="CC70" s="6">
        <v>0</v>
      </c>
      <c r="CD70" s="6">
        <v>0</v>
      </c>
      <c r="CE70" s="6">
        <v>0</v>
      </c>
      <c r="CF70" s="6">
        <v>0</v>
      </c>
      <c r="CG70" s="6">
        <v>0</v>
      </c>
      <c r="CH70" s="6">
        <v>0</v>
      </c>
      <c r="CI70" s="6">
        <v>0</v>
      </c>
      <c r="CJ70" s="6">
        <v>0</v>
      </c>
      <c r="CK70" s="6">
        <v>0</v>
      </c>
      <c r="CL70" s="7">
        <v>0</v>
      </c>
    </row>
    <row r="71" spans="16:90" x14ac:dyDescent="0.3">
      <c r="P71" s="6">
        <v>0</v>
      </c>
      <c r="Q71" s="6">
        <v>1</v>
      </c>
      <c r="R71" s="6">
        <v>1</v>
      </c>
      <c r="S71" s="6">
        <v>1</v>
      </c>
      <c r="T71" s="6">
        <v>1</v>
      </c>
      <c r="U71" s="6">
        <v>1</v>
      </c>
      <c r="V71" s="6">
        <v>1</v>
      </c>
      <c r="W71" s="6">
        <v>1</v>
      </c>
      <c r="X71" s="6">
        <v>1</v>
      </c>
      <c r="Y71" s="6">
        <v>1</v>
      </c>
      <c r="Z71" s="6">
        <v>1</v>
      </c>
      <c r="AA71" s="6">
        <v>1</v>
      </c>
      <c r="AB71" s="6">
        <v>1</v>
      </c>
      <c r="AC71" s="6">
        <v>1</v>
      </c>
      <c r="AD71" s="6">
        <v>1</v>
      </c>
      <c r="AE71" s="6">
        <v>1</v>
      </c>
      <c r="AF71" s="6">
        <v>1</v>
      </c>
      <c r="AG71" s="6">
        <v>1</v>
      </c>
      <c r="AH71" s="6">
        <v>1</v>
      </c>
      <c r="AI71" s="6">
        <v>1</v>
      </c>
      <c r="AJ71" s="6">
        <v>1</v>
      </c>
      <c r="AK71" s="6">
        <v>1</v>
      </c>
      <c r="AL71" s="6">
        <v>1</v>
      </c>
      <c r="AM71" s="6">
        <v>1</v>
      </c>
      <c r="AN71" s="6">
        <v>1</v>
      </c>
      <c r="AO71" s="6">
        <v>1</v>
      </c>
      <c r="AP71" s="6">
        <v>1</v>
      </c>
      <c r="AQ71" s="6">
        <v>1</v>
      </c>
      <c r="AR71" s="6">
        <v>1</v>
      </c>
      <c r="AS71" s="6">
        <v>0</v>
      </c>
      <c r="AT71" s="5">
        <v>0</v>
      </c>
      <c r="AU71" s="6">
        <v>1</v>
      </c>
      <c r="AV71" s="6">
        <v>1</v>
      </c>
      <c r="AW71" s="6">
        <v>1</v>
      </c>
      <c r="AX71" s="6">
        <v>1</v>
      </c>
      <c r="AY71" s="6">
        <v>1</v>
      </c>
      <c r="AZ71" s="6">
        <v>1</v>
      </c>
      <c r="BA71" s="6">
        <v>1</v>
      </c>
      <c r="BB71" s="6">
        <v>1</v>
      </c>
      <c r="BC71" s="6">
        <v>1</v>
      </c>
      <c r="BD71" s="6">
        <v>1</v>
      </c>
      <c r="BE71" s="6">
        <v>1</v>
      </c>
      <c r="BF71" s="6">
        <v>1</v>
      </c>
      <c r="BG71" s="6">
        <v>1</v>
      </c>
      <c r="BH71" s="7">
        <v>1</v>
      </c>
      <c r="BI71" s="5">
        <v>1</v>
      </c>
      <c r="BJ71" s="6">
        <v>1</v>
      </c>
      <c r="BK71" s="6">
        <v>1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  <c r="BQ71" s="6">
        <v>1</v>
      </c>
      <c r="BR71" s="6">
        <v>1</v>
      </c>
      <c r="BS71" s="6">
        <v>1</v>
      </c>
      <c r="BT71" s="6">
        <v>1</v>
      </c>
      <c r="BU71" s="6">
        <v>1</v>
      </c>
      <c r="BV71" s="6">
        <v>1</v>
      </c>
      <c r="BW71" s="6">
        <v>1</v>
      </c>
      <c r="BX71" s="5">
        <v>1</v>
      </c>
      <c r="BY71" s="6">
        <v>0</v>
      </c>
      <c r="BZ71" s="6">
        <v>0</v>
      </c>
      <c r="CA71" s="6">
        <v>0</v>
      </c>
      <c r="CB71" s="6">
        <v>0</v>
      </c>
      <c r="CC71" s="6">
        <v>0</v>
      </c>
      <c r="CD71" s="6">
        <v>0</v>
      </c>
      <c r="CE71" s="6">
        <v>0</v>
      </c>
      <c r="CF71" s="6">
        <v>0</v>
      </c>
      <c r="CG71" s="6">
        <v>0</v>
      </c>
      <c r="CH71" s="6">
        <v>0</v>
      </c>
      <c r="CI71" s="6">
        <v>0</v>
      </c>
      <c r="CJ71" s="6">
        <v>0</v>
      </c>
      <c r="CK71" s="6">
        <v>0</v>
      </c>
      <c r="CL71" s="7">
        <v>0</v>
      </c>
    </row>
    <row r="72" spans="16:90" ht="15" thickBot="1" x14ac:dyDescent="0.35"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8">
        <v>0</v>
      </c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0</v>
      </c>
      <c r="BC72" s="9">
        <v>0</v>
      </c>
      <c r="BD72" s="9">
        <v>0</v>
      </c>
      <c r="BE72" s="9">
        <v>0</v>
      </c>
      <c r="BF72" s="9">
        <v>0</v>
      </c>
      <c r="BG72" s="9">
        <v>0</v>
      </c>
      <c r="BH72" s="10">
        <v>0</v>
      </c>
      <c r="BI72" s="8">
        <v>0</v>
      </c>
      <c r="BJ72" s="9">
        <v>0</v>
      </c>
      <c r="BK72" s="9">
        <v>0</v>
      </c>
      <c r="BL72" s="9">
        <v>0</v>
      </c>
      <c r="BM72" s="9">
        <v>0</v>
      </c>
      <c r="BN72" s="9">
        <v>0</v>
      </c>
      <c r="BO72" s="9">
        <v>0</v>
      </c>
      <c r="BP72" s="9">
        <v>0</v>
      </c>
      <c r="BQ72" s="9">
        <v>0</v>
      </c>
      <c r="BR72" s="9">
        <v>0</v>
      </c>
      <c r="BS72" s="9">
        <v>0</v>
      </c>
      <c r="BT72" s="9">
        <v>0</v>
      </c>
      <c r="BU72" s="9">
        <v>0</v>
      </c>
      <c r="BV72" s="9">
        <v>0</v>
      </c>
      <c r="BW72" s="9">
        <v>0</v>
      </c>
      <c r="BX72" s="8">
        <v>0</v>
      </c>
      <c r="BY72" s="9">
        <v>0</v>
      </c>
      <c r="BZ72" s="9">
        <v>0</v>
      </c>
      <c r="CA72" s="9">
        <v>0</v>
      </c>
      <c r="CB72" s="9">
        <v>0</v>
      </c>
      <c r="CC72" s="9">
        <v>0</v>
      </c>
      <c r="CD72" s="9">
        <v>0</v>
      </c>
      <c r="CE72" s="9">
        <v>0</v>
      </c>
      <c r="CF72" s="9">
        <v>0</v>
      </c>
      <c r="CG72" s="9">
        <v>0</v>
      </c>
      <c r="CH72" s="9">
        <v>0</v>
      </c>
      <c r="CI72" s="9">
        <v>0</v>
      </c>
      <c r="CJ72" s="9">
        <v>0</v>
      </c>
      <c r="CK72" s="9">
        <v>0</v>
      </c>
      <c r="CL72" s="10">
        <v>0</v>
      </c>
    </row>
  </sheetData>
  <mergeCells count="4">
    <mergeCell ref="AG2:AJ5"/>
    <mergeCell ref="AG6:AJ9"/>
    <mergeCell ref="AK2:AN5"/>
    <mergeCell ref="AK6:AQ12"/>
  </mergeCells>
  <conditionalFormatting sqref="A73:XFD1048576 A13:O60 BX13:XFD60 DB61:XFD72 A61:AS72 A1:XFD1 A11:AJ12 A2:AG2 A10:AI10 AP5:XFD5 A3:AF9 AO2:XFD4 AR6:XFD12">
    <cfRule type="colorScale" priority="9">
      <colorScale>
        <cfvo type="min"/>
        <cfvo type="max"/>
        <color rgb="FFFF7128"/>
        <color rgb="FFFFEF9C"/>
      </colorScale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A13:O24">
    <cfRule type="colorScale" priority="11">
      <colorScale>
        <cfvo type="min"/>
        <cfvo type="max"/>
        <color rgb="FFFF7128"/>
        <color rgb="FFFFEF9C"/>
      </colorScale>
    </cfRule>
  </conditionalFormatting>
  <conditionalFormatting sqref="P13:BW60">
    <cfRule type="colorScale" priority="5">
      <colorScale>
        <cfvo type="min"/>
        <cfvo type="max"/>
        <color rgb="FFFF7128"/>
        <color rgb="FFFFEF9C"/>
      </colorScale>
    </cfRule>
  </conditionalFormatting>
  <conditionalFormatting sqref="AT61:BH72">
    <cfRule type="colorScale" priority="4">
      <colorScale>
        <cfvo type="min"/>
        <cfvo type="max"/>
        <color rgb="FFFF7128"/>
        <color rgb="FFFFEF9C"/>
      </colorScale>
    </cfRule>
  </conditionalFormatting>
  <conditionalFormatting sqref="BI61:BW72">
    <cfRule type="colorScale" priority="3">
      <colorScale>
        <cfvo type="min"/>
        <cfvo type="max"/>
        <color rgb="FFFF7128"/>
        <color rgb="FFFFEF9C"/>
      </colorScale>
    </cfRule>
  </conditionalFormatting>
  <conditionalFormatting sqref="BX61:CL72">
    <cfRule type="colorScale" priority="2">
      <colorScale>
        <cfvo type="min"/>
        <cfvo type="max"/>
        <color rgb="FFFF7128"/>
        <color rgb="FFFFEF9C"/>
      </colorScale>
    </cfRule>
  </conditionalFormatting>
  <conditionalFormatting sqref="CM61:DA72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vbomm_000</dc:creator>
  <cp:lastModifiedBy>vbomm_000</cp:lastModifiedBy>
  <dcterms:created xsi:type="dcterms:W3CDTF">2016-03-05T20:50:13Z</dcterms:created>
  <dcterms:modified xsi:type="dcterms:W3CDTF">2016-03-06T05:15:00Z</dcterms:modified>
</cp:coreProperties>
</file>